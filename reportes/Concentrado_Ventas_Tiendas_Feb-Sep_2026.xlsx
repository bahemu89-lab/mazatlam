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do" sheetId="1" state="visible" r:id="rId1"/>
    <sheet xmlns:r="http://schemas.openxmlformats.org/officeDocument/2006/relationships" name="Captura BMS" sheetId="2" state="visible" r:id="rId2"/>
    <sheet xmlns:r="http://schemas.openxmlformats.org/officeDocument/2006/relationships" name="Calendario migra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8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  <font>
      <b val="1"/>
      <sz val="14"/>
    </font>
    <font>
      <i val="1"/>
      <color rgb="00595959"/>
    </font>
    <font>
      <b val="1"/>
    </font>
    <font>
      <i val="1"/>
    </font>
  </fonts>
  <fills count="6">
    <fill>
      <patternFill/>
    </fill>
    <fill>
      <patternFill patternType="gray125"/>
    </fill>
    <fill>
      <patternFill patternType="solid">
        <fgColor rgb="008E2F2F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2DCD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6" fillId="5" borderId="1" pivotButton="0" quotePrefix="0" xfId="0"/>
    <xf numFmtId="164" fontId="6" fillId="5" borderId="1" pivotButton="0" quotePrefix="0" xfId="0"/>
    <xf numFmtId="165" fontId="6" fillId="5" borderId="1" pivotButton="0" quotePrefix="0" xfId="0"/>
    <xf numFmtId="0" fontId="6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164" fontId="0" fillId="3" borderId="1" pivotButton="0" quotePrefix="0" xfId="0"/>
    <xf numFmtId="164" fontId="0" fillId="4" borderId="1" pivotButton="0" quotePrefix="0" xfId="0"/>
    <xf numFmtId="0" fontId="0" fillId="4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CONCENTRADO DE VENTAS POR TIENDA — FEBRERO A SEPTIEMBRE 2026</t>
        </is>
      </c>
    </row>
    <row r="2">
      <c r="A2" s="2" t="inlineStr">
        <is>
          <t>Venta en pesos (MXN). Cada tienda suma lo vendido en BMS Julio Alejandro + BMS Procortes, para que la migración no corte la serie.</t>
        </is>
      </c>
    </row>
    <row r="4" ht="32" customHeight="1">
      <c r="A4" s="3" t="inlineStr">
        <is>
          <t>Sucursal</t>
        </is>
      </c>
      <c r="B4" s="3" t="inlineStr">
        <is>
          <t>Migración a Procortes</t>
        </is>
      </c>
      <c r="C4" s="3" t="inlineStr">
        <is>
          <t>Feb-26</t>
        </is>
      </c>
      <c r="D4" s="3" t="inlineStr">
        <is>
          <t>Mar-26</t>
        </is>
      </c>
      <c r="E4" s="3" t="inlineStr">
        <is>
          <t>Abr-26</t>
        </is>
      </c>
      <c r="F4" s="3" t="inlineStr">
        <is>
          <t>May-26</t>
        </is>
      </c>
      <c r="G4" s="3" t="inlineStr">
        <is>
          <t>Jun-26</t>
        </is>
      </c>
      <c r="H4" s="3" t="inlineStr">
        <is>
          <t>Jul-26</t>
        </is>
      </c>
      <c r="I4" s="3" t="inlineStr">
        <is>
          <t>Ago-26</t>
        </is>
      </c>
      <c r="J4" s="3" t="inlineStr">
        <is>
          <t>Sep-26</t>
        </is>
      </c>
      <c r="K4" s="3" t="inlineStr">
        <is>
          <t>Total 8 meses</t>
        </is>
      </c>
      <c r="L4" s="3" t="inlineStr">
        <is>
          <t>Promedio mensual</t>
        </is>
      </c>
      <c r="M4" s="3" t="inlineStr">
        <is>
          <t>Var. Sep vs Feb</t>
        </is>
      </c>
    </row>
    <row r="5">
      <c r="A5" s="4" t="inlineStr">
        <is>
          <t>Av. México</t>
        </is>
      </c>
      <c r="B5" s="4" t="inlineStr">
        <is>
          <t>17-ago-2026</t>
        </is>
      </c>
      <c r="C5" s="5">
        <f>SUMIFS('Captura BMS'!$C$1:$C$200,'Captura BMS'!$A$1:$A$200,$A5,'Captura BMS'!$B$1:$B$200,"Julio Alejandro")+SUMIFS('Captura BMS'!$C$1:$C$200,'Captura BMS'!$A$1:$A$200,$A5,'Captura BMS'!$B$1:$B$200,"Procortes")</f>
        <v/>
      </c>
      <c r="D5" s="5">
        <f>SUMIFS('Captura BMS'!$D$1:$D$200,'Captura BMS'!$A$1:$A$200,$A5,'Captura BMS'!$B$1:$B$200,"Julio Alejandro")+SUMIFS('Captura BMS'!$D$1:$D$200,'Captura BMS'!$A$1:$A$200,$A5,'Captura BMS'!$B$1:$B$200,"Procortes")</f>
        <v/>
      </c>
      <c r="E5" s="5">
        <f>SUMIFS('Captura BMS'!$E$1:$E$200,'Captura BMS'!$A$1:$A$200,$A5,'Captura BMS'!$B$1:$B$200,"Julio Alejandro")+SUMIFS('Captura BMS'!$E$1:$E$200,'Captura BMS'!$A$1:$A$200,$A5,'Captura BMS'!$B$1:$B$200,"Procortes")</f>
        <v/>
      </c>
      <c r="F5" s="5">
        <f>SUMIFS('Captura BMS'!$F$1:$F$200,'Captura BMS'!$A$1:$A$200,$A5,'Captura BMS'!$B$1:$B$200,"Julio Alejandro")+SUMIFS('Captura BMS'!$F$1:$F$200,'Captura BMS'!$A$1:$A$200,$A5,'Captura BMS'!$B$1:$B$200,"Procortes")</f>
        <v/>
      </c>
      <c r="G5" s="5">
        <f>SUMIFS('Captura BMS'!$G$1:$G$200,'Captura BMS'!$A$1:$A$200,$A5,'Captura BMS'!$B$1:$B$200,"Julio Alejandro")+SUMIFS('Captura BMS'!$G$1:$G$200,'Captura BMS'!$A$1:$A$200,$A5,'Captura BMS'!$B$1:$B$200,"Procortes")</f>
        <v/>
      </c>
      <c r="H5" s="5">
        <f>SUMIFS('Captura BMS'!$H$1:$H$200,'Captura BMS'!$A$1:$A$200,$A5,'Captura BMS'!$B$1:$B$200,"Julio Alejandro")+SUMIFS('Captura BMS'!$H$1:$H$200,'Captura BMS'!$A$1:$A$200,$A5,'Captura BMS'!$B$1:$B$200,"Procortes")</f>
        <v/>
      </c>
      <c r="I5" s="5">
        <f>SUMIFS('Captura BMS'!$I$1:$I$200,'Captura BMS'!$A$1:$A$200,$A5,'Captura BMS'!$B$1:$B$200,"Julio Alejandro")+SUMIFS('Captura BMS'!$I$1:$I$200,'Captura BMS'!$A$1:$A$200,$A5,'Captura BMS'!$B$1:$B$200,"Procortes")</f>
        <v/>
      </c>
      <c r="J5" s="5">
        <f>SUMIFS('Captura BMS'!$J$1:$J$200,'Captura BMS'!$A$1:$A$200,$A5,'Captura BMS'!$B$1:$B$200,"Julio Alejandro")+SUMIFS('Captura BMS'!$J$1:$J$200,'Captura BMS'!$A$1:$A$200,$A5,'Captura BMS'!$B$1:$B$200,"Procortes")</f>
        <v/>
      </c>
      <c r="K5" s="5">
        <f>SUM(C5:J5)</f>
        <v/>
      </c>
      <c r="L5" s="5">
        <f>IFERROR(AVERAGEIF(C5:J5,"&gt;0"),0)</f>
        <v/>
      </c>
      <c r="M5" s="6">
        <f>IF(OR(C5=0,J5=0),"",J5/C5-1)</f>
        <v/>
      </c>
    </row>
    <row r="6">
      <c r="A6" s="4" t="inlineStr">
        <is>
          <t>Bucerías</t>
        </is>
      </c>
      <c r="B6" s="4" t="inlineStr">
        <is>
          <t>07-sep-2026</t>
        </is>
      </c>
      <c r="C6" s="5">
        <f>SUMIFS('Captura BMS'!$C$1:$C$200,'Captura BMS'!$A$1:$A$200,$A6,'Captura BMS'!$B$1:$B$200,"Julio Alejandro")+SUMIFS('Captura BMS'!$C$1:$C$200,'Captura BMS'!$A$1:$A$200,$A6,'Captura BMS'!$B$1:$B$200,"Procortes")</f>
        <v/>
      </c>
      <c r="D6" s="5">
        <f>SUMIFS('Captura BMS'!$D$1:$D$200,'Captura BMS'!$A$1:$A$200,$A6,'Captura BMS'!$B$1:$B$200,"Julio Alejandro")+SUMIFS('Captura BMS'!$D$1:$D$200,'Captura BMS'!$A$1:$A$200,$A6,'Captura BMS'!$B$1:$B$200,"Procortes")</f>
        <v/>
      </c>
      <c r="E6" s="5">
        <f>SUMIFS('Captura BMS'!$E$1:$E$200,'Captura BMS'!$A$1:$A$200,$A6,'Captura BMS'!$B$1:$B$200,"Julio Alejandro")+SUMIFS('Captura BMS'!$E$1:$E$200,'Captura BMS'!$A$1:$A$200,$A6,'Captura BMS'!$B$1:$B$200,"Procortes")</f>
        <v/>
      </c>
      <c r="F6" s="5">
        <f>SUMIFS('Captura BMS'!$F$1:$F$200,'Captura BMS'!$A$1:$A$200,$A6,'Captura BMS'!$B$1:$B$200,"Julio Alejandro")+SUMIFS('Captura BMS'!$F$1:$F$200,'Captura BMS'!$A$1:$A$200,$A6,'Captura BMS'!$B$1:$B$200,"Procortes")</f>
        <v/>
      </c>
      <c r="G6" s="5">
        <f>SUMIFS('Captura BMS'!$G$1:$G$200,'Captura BMS'!$A$1:$A$200,$A6,'Captura BMS'!$B$1:$B$200,"Julio Alejandro")+SUMIFS('Captura BMS'!$G$1:$G$200,'Captura BMS'!$A$1:$A$200,$A6,'Captura BMS'!$B$1:$B$200,"Procortes")</f>
        <v/>
      </c>
      <c r="H6" s="5">
        <f>SUMIFS('Captura BMS'!$H$1:$H$200,'Captura BMS'!$A$1:$A$200,$A6,'Captura BMS'!$B$1:$B$200,"Julio Alejandro")+SUMIFS('Captura BMS'!$H$1:$H$200,'Captura BMS'!$A$1:$A$200,$A6,'Captura BMS'!$B$1:$B$200,"Procortes")</f>
        <v/>
      </c>
      <c r="I6" s="5">
        <f>SUMIFS('Captura BMS'!$I$1:$I$200,'Captura BMS'!$A$1:$A$200,$A6,'Captura BMS'!$B$1:$B$200,"Julio Alejandro")+SUMIFS('Captura BMS'!$I$1:$I$200,'Captura BMS'!$A$1:$A$200,$A6,'Captura BMS'!$B$1:$B$200,"Procortes")</f>
        <v/>
      </c>
      <c r="J6" s="5">
        <f>SUMIFS('Captura BMS'!$J$1:$J$200,'Captura BMS'!$A$1:$A$200,$A6,'Captura BMS'!$B$1:$B$200,"Julio Alejandro")+SUMIFS('Captura BMS'!$J$1:$J$200,'Captura BMS'!$A$1:$A$200,$A6,'Captura BMS'!$B$1:$B$200,"Procortes")</f>
        <v/>
      </c>
      <c r="K6" s="5">
        <f>SUM(C6:J6)</f>
        <v/>
      </c>
      <c r="L6" s="5">
        <f>IFERROR(AVERAGEIF(C6:J6,"&gt;0"),0)</f>
        <v/>
      </c>
      <c r="M6" s="6">
        <f>IF(OR(C6=0,J6=0),"",J6/C6-1)</f>
        <v/>
      </c>
    </row>
    <row r="7">
      <c r="A7" s="4" t="inlineStr">
        <is>
          <t>Cantera</t>
        </is>
      </c>
      <c r="B7" s="4" t="inlineStr">
        <is>
          <t>27-jul-2026</t>
        </is>
      </c>
      <c r="C7" s="5">
        <f>SUMIFS('Captura BMS'!$C$1:$C$200,'Captura BMS'!$A$1:$A$200,$A7,'Captura BMS'!$B$1:$B$200,"Julio Alejandro")+SUMIFS('Captura BMS'!$C$1:$C$200,'Captura BMS'!$A$1:$A$200,$A7,'Captura BMS'!$B$1:$B$200,"Procortes")</f>
        <v/>
      </c>
      <c r="D7" s="5">
        <f>SUMIFS('Captura BMS'!$D$1:$D$200,'Captura BMS'!$A$1:$A$200,$A7,'Captura BMS'!$B$1:$B$200,"Julio Alejandro")+SUMIFS('Captura BMS'!$D$1:$D$200,'Captura BMS'!$A$1:$A$200,$A7,'Captura BMS'!$B$1:$B$200,"Procortes")</f>
        <v/>
      </c>
      <c r="E7" s="5">
        <f>SUMIFS('Captura BMS'!$E$1:$E$200,'Captura BMS'!$A$1:$A$200,$A7,'Captura BMS'!$B$1:$B$200,"Julio Alejandro")+SUMIFS('Captura BMS'!$E$1:$E$200,'Captura BMS'!$A$1:$A$200,$A7,'Captura BMS'!$B$1:$B$200,"Procortes")</f>
        <v/>
      </c>
      <c r="F7" s="5">
        <f>SUMIFS('Captura BMS'!$F$1:$F$200,'Captura BMS'!$A$1:$A$200,$A7,'Captura BMS'!$B$1:$B$200,"Julio Alejandro")+SUMIFS('Captura BMS'!$F$1:$F$200,'Captura BMS'!$A$1:$A$200,$A7,'Captura BMS'!$B$1:$B$200,"Procortes")</f>
        <v/>
      </c>
      <c r="G7" s="5">
        <f>SUMIFS('Captura BMS'!$G$1:$G$200,'Captura BMS'!$A$1:$A$200,$A7,'Captura BMS'!$B$1:$B$200,"Julio Alejandro")+SUMIFS('Captura BMS'!$G$1:$G$200,'Captura BMS'!$A$1:$A$200,$A7,'Captura BMS'!$B$1:$B$200,"Procortes")</f>
        <v/>
      </c>
      <c r="H7" s="5">
        <f>SUMIFS('Captura BMS'!$H$1:$H$200,'Captura BMS'!$A$1:$A$200,$A7,'Captura BMS'!$B$1:$B$200,"Julio Alejandro")+SUMIFS('Captura BMS'!$H$1:$H$200,'Captura BMS'!$A$1:$A$200,$A7,'Captura BMS'!$B$1:$B$200,"Procortes")</f>
        <v/>
      </c>
      <c r="I7" s="5">
        <f>SUMIFS('Captura BMS'!$I$1:$I$200,'Captura BMS'!$A$1:$A$200,$A7,'Captura BMS'!$B$1:$B$200,"Julio Alejandro")+SUMIFS('Captura BMS'!$I$1:$I$200,'Captura BMS'!$A$1:$A$200,$A7,'Captura BMS'!$B$1:$B$200,"Procortes")</f>
        <v/>
      </c>
      <c r="J7" s="5">
        <f>SUMIFS('Captura BMS'!$J$1:$J$200,'Captura BMS'!$A$1:$A$200,$A7,'Captura BMS'!$B$1:$B$200,"Julio Alejandro")+SUMIFS('Captura BMS'!$J$1:$J$200,'Captura BMS'!$A$1:$A$200,$A7,'Captura BMS'!$B$1:$B$200,"Procortes")</f>
        <v/>
      </c>
      <c r="K7" s="5">
        <f>SUM(C7:J7)</f>
        <v/>
      </c>
      <c r="L7" s="5">
        <f>IFERROR(AVERAGEIF(C7:J7,"&gt;0"),0)</f>
        <v/>
      </c>
      <c r="M7" s="6">
        <f>IF(OR(C7=0,J7=0),"",J7/C7-1)</f>
        <v/>
      </c>
    </row>
    <row r="8">
      <c r="A8" s="4" t="inlineStr">
        <is>
          <t>Ejido</t>
        </is>
      </c>
      <c r="B8" s="4" t="inlineStr">
        <is>
          <t>10-ago-2026</t>
        </is>
      </c>
      <c r="C8" s="5">
        <f>SUMIFS('Captura BMS'!$C$1:$C$200,'Captura BMS'!$A$1:$A$200,$A8,'Captura BMS'!$B$1:$B$200,"Julio Alejandro")+SUMIFS('Captura BMS'!$C$1:$C$200,'Captura BMS'!$A$1:$A$200,$A8,'Captura BMS'!$B$1:$B$200,"Procortes")</f>
        <v/>
      </c>
      <c r="D8" s="5">
        <f>SUMIFS('Captura BMS'!$D$1:$D$200,'Captura BMS'!$A$1:$A$200,$A8,'Captura BMS'!$B$1:$B$200,"Julio Alejandro")+SUMIFS('Captura BMS'!$D$1:$D$200,'Captura BMS'!$A$1:$A$200,$A8,'Captura BMS'!$B$1:$B$200,"Procortes")</f>
        <v/>
      </c>
      <c r="E8" s="5">
        <f>SUMIFS('Captura BMS'!$E$1:$E$200,'Captura BMS'!$A$1:$A$200,$A8,'Captura BMS'!$B$1:$B$200,"Julio Alejandro")+SUMIFS('Captura BMS'!$E$1:$E$200,'Captura BMS'!$A$1:$A$200,$A8,'Captura BMS'!$B$1:$B$200,"Procortes")</f>
        <v/>
      </c>
      <c r="F8" s="5">
        <f>SUMIFS('Captura BMS'!$F$1:$F$200,'Captura BMS'!$A$1:$A$200,$A8,'Captura BMS'!$B$1:$B$200,"Julio Alejandro")+SUMIFS('Captura BMS'!$F$1:$F$200,'Captura BMS'!$A$1:$A$200,$A8,'Captura BMS'!$B$1:$B$200,"Procortes")</f>
        <v/>
      </c>
      <c r="G8" s="5">
        <f>SUMIFS('Captura BMS'!$G$1:$G$200,'Captura BMS'!$A$1:$A$200,$A8,'Captura BMS'!$B$1:$B$200,"Julio Alejandro")+SUMIFS('Captura BMS'!$G$1:$G$200,'Captura BMS'!$A$1:$A$200,$A8,'Captura BMS'!$B$1:$B$200,"Procortes")</f>
        <v/>
      </c>
      <c r="H8" s="5">
        <f>SUMIFS('Captura BMS'!$H$1:$H$200,'Captura BMS'!$A$1:$A$200,$A8,'Captura BMS'!$B$1:$B$200,"Julio Alejandro")+SUMIFS('Captura BMS'!$H$1:$H$200,'Captura BMS'!$A$1:$A$200,$A8,'Captura BMS'!$B$1:$B$200,"Procortes")</f>
        <v/>
      </c>
      <c r="I8" s="5">
        <f>SUMIFS('Captura BMS'!$I$1:$I$200,'Captura BMS'!$A$1:$A$200,$A8,'Captura BMS'!$B$1:$B$200,"Julio Alejandro")+SUMIFS('Captura BMS'!$I$1:$I$200,'Captura BMS'!$A$1:$A$200,$A8,'Captura BMS'!$B$1:$B$200,"Procortes")</f>
        <v/>
      </c>
      <c r="J8" s="5">
        <f>SUMIFS('Captura BMS'!$J$1:$J$200,'Captura BMS'!$A$1:$A$200,$A8,'Captura BMS'!$B$1:$B$200,"Julio Alejandro")+SUMIFS('Captura BMS'!$J$1:$J$200,'Captura BMS'!$A$1:$A$200,$A8,'Captura BMS'!$B$1:$B$200,"Procortes")</f>
        <v/>
      </c>
      <c r="K8" s="5">
        <f>SUM(C8:J8)</f>
        <v/>
      </c>
      <c r="L8" s="5">
        <f>IFERROR(AVERAGEIF(C8:J8,"&gt;0"),0)</f>
        <v/>
      </c>
      <c r="M8" s="6">
        <f>IF(OR(C8=0,J8=0),"",J8/C8-1)</f>
        <v/>
      </c>
    </row>
    <row r="9">
      <c r="A9" s="4" t="inlineStr">
        <is>
          <t>Fluvial</t>
        </is>
      </c>
      <c r="B9" s="4" t="inlineStr">
        <is>
          <t>—</t>
        </is>
      </c>
      <c r="C9" s="5">
        <f>SUMIFS('Captura BMS'!$C$1:$C$200,'Captura BMS'!$A$1:$A$200,$A9,'Captura BMS'!$B$1:$B$200,"Julio Alejandro")+SUMIFS('Captura BMS'!$C$1:$C$200,'Captura BMS'!$A$1:$A$200,$A9,'Captura BMS'!$B$1:$B$200,"Procortes")</f>
        <v/>
      </c>
      <c r="D9" s="5">
        <f>SUMIFS('Captura BMS'!$D$1:$D$200,'Captura BMS'!$A$1:$A$200,$A9,'Captura BMS'!$B$1:$B$200,"Julio Alejandro")+SUMIFS('Captura BMS'!$D$1:$D$200,'Captura BMS'!$A$1:$A$200,$A9,'Captura BMS'!$B$1:$B$200,"Procortes")</f>
        <v/>
      </c>
      <c r="E9" s="5">
        <f>SUMIFS('Captura BMS'!$E$1:$E$200,'Captura BMS'!$A$1:$A$200,$A9,'Captura BMS'!$B$1:$B$200,"Julio Alejandro")+SUMIFS('Captura BMS'!$E$1:$E$200,'Captura BMS'!$A$1:$A$200,$A9,'Captura BMS'!$B$1:$B$200,"Procortes")</f>
        <v/>
      </c>
      <c r="F9" s="5">
        <f>SUMIFS('Captura BMS'!$F$1:$F$200,'Captura BMS'!$A$1:$A$200,$A9,'Captura BMS'!$B$1:$B$200,"Julio Alejandro")+SUMIFS('Captura BMS'!$F$1:$F$200,'Captura BMS'!$A$1:$A$200,$A9,'Captura BMS'!$B$1:$B$200,"Procortes")</f>
        <v/>
      </c>
      <c r="G9" s="5">
        <f>SUMIFS('Captura BMS'!$G$1:$G$200,'Captura BMS'!$A$1:$A$200,$A9,'Captura BMS'!$B$1:$B$200,"Julio Alejandro")+SUMIFS('Captura BMS'!$G$1:$G$200,'Captura BMS'!$A$1:$A$200,$A9,'Captura BMS'!$B$1:$B$200,"Procortes")</f>
        <v/>
      </c>
      <c r="H9" s="5">
        <f>SUMIFS('Captura BMS'!$H$1:$H$200,'Captura BMS'!$A$1:$A$200,$A9,'Captura BMS'!$B$1:$B$200,"Julio Alejandro")+SUMIFS('Captura BMS'!$H$1:$H$200,'Captura BMS'!$A$1:$A$200,$A9,'Captura BMS'!$B$1:$B$200,"Procortes")</f>
        <v/>
      </c>
      <c r="I9" s="5">
        <f>SUMIFS('Captura BMS'!$I$1:$I$200,'Captura BMS'!$A$1:$A$200,$A9,'Captura BMS'!$B$1:$B$200,"Julio Alejandro")+SUMIFS('Captura BMS'!$I$1:$I$200,'Captura BMS'!$A$1:$A$200,$A9,'Captura BMS'!$B$1:$B$200,"Procortes")</f>
        <v/>
      </c>
      <c r="J9" s="5">
        <f>SUMIFS('Captura BMS'!$J$1:$J$200,'Captura BMS'!$A$1:$A$200,$A9,'Captura BMS'!$B$1:$B$200,"Julio Alejandro")+SUMIFS('Captura BMS'!$J$1:$J$200,'Captura BMS'!$A$1:$A$200,$A9,'Captura BMS'!$B$1:$B$200,"Procortes")</f>
        <v/>
      </c>
      <c r="K9" s="5">
        <f>SUM(C9:J9)</f>
        <v/>
      </c>
      <c r="L9" s="5">
        <f>IFERROR(AVERAGEIF(C9:J9,"&gt;0"),0)</f>
        <v/>
      </c>
      <c r="M9" s="6">
        <f>IF(OR(C9=0,J9=0),"",J9/C9-1)</f>
        <v/>
      </c>
    </row>
    <row r="10">
      <c r="A10" s="4" t="inlineStr">
        <is>
          <t>Insurgentes</t>
        </is>
      </c>
      <c r="B10" s="4" t="inlineStr">
        <is>
          <t>abr-2026</t>
        </is>
      </c>
      <c r="C10" s="5">
        <f>SUMIFS('Captura BMS'!$C$1:$C$200,'Captura BMS'!$A$1:$A$200,$A10,'Captura BMS'!$B$1:$B$200,"Julio Alejandro")+SUMIFS('Captura BMS'!$C$1:$C$200,'Captura BMS'!$A$1:$A$200,$A10,'Captura BMS'!$B$1:$B$200,"Procortes")</f>
        <v/>
      </c>
      <c r="D10" s="5">
        <f>SUMIFS('Captura BMS'!$D$1:$D$200,'Captura BMS'!$A$1:$A$200,$A10,'Captura BMS'!$B$1:$B$200,"Julio Alejandro")+SUMIFS('Captura BMS'!$D$1:$D$200,'Captura BMS'!$A$1:$A$200,$A10,'Captura BMS'!$B$1:$B$200,"Procortes")</f>
        <v/>
      </c>
      <c r="E10" s="5">
        <f>SUMIFS('Captura BMS'!$E$1:$E$200,'Captura BMS'!$A$1:$A$200,$A10,'Captura BMS'!$B$1:$B$200,"Julio Alejandro")+SUMIFS('Captura BMS'!$E$1:$E$200,'Captura BMS'!$A$1:$A$200,$A10,'Captura BMS'!$B$1:$B$200,"Procortes")</f>
        <v/>
      </c>
      <c r="F10" s="5">
        <f>SUMIFS('Captura BMS'!$F$1:$F$200,'Captura BMS'!$A$1:$A$200,$A10,'Captura BMS'!$B$1:$B$200,"Julio Alejandro")+SUMIFS('Captura BMS'!$F$1:$F$200,'Captura BMS'!$A$1:$A$200,$A10,'Captura BMS'!$B$1:$B$200,"Procortes")</f>
        <v/>
      </c>
      <c r="G10" s="5">
        <f>SUMIFS('Captura BMS'!$G$1:$G$200,'Captura BMS'!$A$1:$A$200,$A10,'Captura BMS'!$B$1:$B$200,"Julio Alejandro")+SUMIFS('Captura BMS'!$G$1:$G$200,'Captura BMS'!$A$1:$A$200,$A10,'Captura BMS'!$B$1:$B$200,"Procortes")</f>
        <v/>
      </c>
      <c r="H10" s="5">
        <f>SUMIFS('Captura BMS'!$H$1:$H$200,'Captura BMS'!$A$1:$A$200,$A10,'Captura BMS'!$B$1:$B$200,"Julio Alejandro")+SUMIFS('Captura BMS'!$H$1:$H$200,'Captura BMS'!$A$1:$A$200,$A10,'Captura BMS'!$B$1:$B$200,"Procortes")</f>
        <v/>
      </c>
      <c r="I10" s="5">
        <f>SUMIFS('Captura BMS'!$I$1:$I$200,'Captura BMS'!$A$1:$A$200,$A10,'Captura BMS'!$B$1:$B$200,"Julio Alejandro")+SUMIFS('Captura BMS'!$I$1:$I$200,'Captura BMS'!$A$1:$A$200,$A10,'Captura BMS'!$B$1:$B$200,"Procortes")</f>
        <v/>
      </c>
      <c r="J10" s="5">
        <f>SUMIFS('Captura BMS'!$J$1:$J$200,'Captura BMS'!$A$1:$A$200,$A10,'Captura BMS'!$B$1:$B$200,"Julio Alejandro")+SUMIFS('Captura BMS'!$J$1:$J$200,'Captura BMS'!$A$1:$A$200,$A10,'Captura BMS'!$B$1:$B$200,"Procortes")</f>
        <v/>
      </c>
      <c r="K10" s="5">
        <f>SUM(C10:J10)</f>
        <v/>
      </c>
      <c r="L10" s="5">
        <f>IFERROR(AVERAGEIF(C10:J10,"&gt;0"),0)</f>
        <v/>
      </c>
      <c r="M10" s="6">
        <f>IF(OR(C10=0,J10=0),"",J10/C10-1)</f>
        <v/>
      </c>
    </row>
    <row r="11">
      <c r="A11" s="4" t="inlineStr">
        <is>
          <t>Ixtapa</t>
        </is>
      </c>
      <c r="B11" s="4" t="inlineStr">
        <is>
          <t>—</t>
        </is>
      </c>
      <c r="C11" s="5">
        <f>SUMIFS('Captura BMS'!$C$1:$C$200,'Captura BMS'!$A$1:$A$200,$A11,'Captura BMS'!$B$1:$B$200,"Julio Alejandro")+SUMIFS('Captura BMS'!$C$1:$C$200,'Captura BMS'!$A$1:$A$200,$A11,'Captura BMS'!$B$1:$B$200,"Procortes")</f>
        <v/>
      </c>
      <c r="D11" s="5">
        <f>SUMIFS('Captura BMS'!$D$1:$D$200,'Captura BMS'!$A$1:$A$200,$A11,'Captura BMS'!$B$1:$B$200,"Julio Alejandro")+SUMIFS('Captura BMS'!$D$1:$D$200,'Captura BMS'!$A$1:$A$200,$A11,'Captura BMS'!$B$1:$B$200,"Procortes")</f>
        <v/>
      </c>
      <c r="E11" s="5">
        <f>SUMIFS('Captura BMS'!$E$1:$E$200,'Captura BMS'!$A$1:$A$200,$A11,'Captura BMS'!$B$1:$B$200,"Julio Alejandro")+SUMIFS('Captura BMS'!$E$1:$E$200,'Captura BMS'!$A$1:$A$200,$A11,'Captura BMS'!$B$1:$B$200,"Procortes")</f>
        <v/>
      </c>
      <c r="F11" s="5">
        <f>SUMIFS('Captura BMS'!$F$1:$F$200,'Captura BMS'!$A$1:$A$200,$A11,'Captura BMS'!$B$1:$B$200,"Julio Alejandro")+SUMIFS('Captura BMS'!$F$1:$F$200,'Captura BMS'!$A$1:$A$200,$A11,'Captura BMS'!$B$1:$B$200,"Procortes")</f>
        <v/>
      </c>
      <c r="G11" s="5">
        <f>SUMIFS('Captura BMS'!$G$1:$G$200,'Captura BMS'!$A$1:$A$200,$A11,'Captura BMS'!$B$1:$B$200,"Julio Alejandro")+SUMIFS('Captura BMS'!$G$1:$G$200,'Captura BMS'!$A$1:$A$200,$A11,'Captura BMS'!$B$1:$B$200,"Procortes")</f>
        <v/>
      </c>
      <c r="H11" s="5">
        <f>SUMIFS('Captura BMS'!$H$1:$H$200,'Captura BMS'!$A$1:$A$200,$A11,'Captura BMS'!$B$1:$B$200,"Julio Alejandro")+SUMIFS('Captura BMS'!$H$1:$H$200,'Captura BMS'!$A$1:$A$200,$A11,'Captura BMS'!$B$1:$B$200,"Procortes")</f>
        <v/>
      </c>
      <c r="I11" s="5">
        <f>SUMIFS('Captura BMS'!$I$1:$I$200,'Captura BMS'!$A$1:$A$200,$A11,'Captura BMS'!$B$1:$B$200,"Julio Alejandro")+SUMIFS('Captura BMS'!$I$1:$I$200,'Captura BMS'!$A$1:$A$200,$A11,'Captura BMS'!$B$1:$B$200,"Procortes")</f>
        <v/>
      </c>
      <c r="J11" s="5">
        <f>SUMIFS('Captura BMS'!$J$1:$J$200,'Captura BMS'!$A$1:$A$200,$A11,'Captura BMS'!$B$1:$B$200,"Julio Alejandro")+SUMIFS('Captura BMS'!$J$1:$J$200,'Captura BMS'!$A$1:$A$200,$A11,'Captura BMS'!$B$1:$B$200,"Procortes")</f>
        <v/>
      </c>
      <c r="K11" s="5">
        <f>SUM(C11:J11)</f>
        <v/>
      </c>
      <c r="L11" s="5">
        <f>IFERROR(AVERAGEIF(C11:J11,"&gt;0"),0)</f>
        <v/>
      </c>
      <c r="M11" s="6">
        <f>IF(OR(C11=0,J11=0),"",J11/C11-1)</f>
        <v/>
      </c>
    </row>
    <row r="12">
      <c r="A12" s="4" t="inlineStr">
        <is>
          <t>Ixtlán</t>
        </is>
      </c>
      <c r="B12" s="4" t="inlineStr">
        <is>
          <t>—</t>
        </is>
      </c>
      <c r="C12" s="5">
        <f>SUMIFS('Captura BMS'!$C$1:$C$200,'Captura BMS'!$A$1:$A$200,$A12,'Captura BMS'!$B$1:$B$200,"Julio Alejandro")+SUMIFS('Captura BMS'!$C$1:$C$200,'Captura BMS'!$A$1:$A$200,$A12,'Captura BMS'!$B$1:$B$200,"Procortes")</f>
        <v/>
      </c>
      <c r="D12" s="5">
        <f>SUMIFS('Captura BMS'!$D$1:$D$200,'Captura BMS'!$A$1:$A$200,$A12,'Captura BMS'!$B$1:$B$200,"Julio Alejandro")+SUMIFS('Captura BMS'!$D$1:$D$200,'Captura BMS'!$A$1:$A$200,$A12,'Captura BMS'!$B$1:$B$200,"Procortes")</f>
        <v/>
      </c>
      <c r="E12" s="5">
        <f>SUMIFS('Captura BMS'!$E$1:$E$200,'Captura BMS'!$A$1:$A$200,$A12,'Captura BMS'!$B$1:$B$200,"Julio Alejandro")+SUMIFS('Captura BMS'!$E$1:$E$200,'Captura BMS'!$A$1:$A$200,$A12,'Captura BMS'!$B$1:$B$200,"Procortes")</f>
        <v/>
      </c>
      <c r="F12" s="5">
        <f>SUMIFS('Captura BMS'!$F$1:$F$200,'Captura BMS'!$A$1:$A$200,$A12,'Captura BMS'!$B$1:$B$200,"Julio Alejandro")+SUMIFS('Captura BMS'!$F$1:$F$200,'Captura BMS'!$A$1:$A$200,$A12,'Captura BMS'!$B$1:$B$200,"Procortes")</f>
        <v/>
      </c>
      <c r="G12" s="5">
        <f>SUMIFS('Captura BMS'!$G$1:$G$200,'Captura BMS'!$A$1:$A$200,$A12,'Captura BMS'!$B$1:$B$200,"Julio Alejandro")+SUMIFS('Captura BMS'!$G$1:$G$200,'Captura BMS'!$A$1:$A$200,$A12,'Captura BMS'!$B$1:$B$200,"Procortes")</f>
        <v/>
      </c>
      <c r="H12" s="5">
        <f>SUMIFS('Captura BMS'!$H$1:$H$200,'Captura BMS'!$A$1:$A$200,$A12,'Captura BMS'!$B$1:$B$200,"Julio Alejandro")+SUMIFS('Captura BMS'!$H$1:$H$200,'Captura BMS'!$A$1:$A$200,$A12,'Captura BMS'!$B$1:$B$200,"Procortes")</f>
        <v/>
      </c>
      <c r="I12" s="5">
        <f>SUMIFS('Captura BMS'!$I$1:$I$200,'Captura BMS'!$A$1:$A$200,$A12,'Captura BMS'!$B$1:$B$200,"Julio Alejandro")+SUMIFS('Captura BMS'!$I$1:$I$200,'Captura BMS'!$A$1:$A$200,$A12,'Captura BMS'!$B$1:$B$200,"Procortes")</f>
        <v/>
      </c>
      <c r="J12" s="5">
        <f>SUMIFS('Captura BMS'!$J$1:$J$200,'Captura BMS'!$A$1:$A$200,$A12,'Captura BMS'!$B$1:$B$200,"Julio Alejandro")+SUMIFS('Captura BMS'!$J$1:$J$200,'Captura BMS'!$A$1:$A$200,$A12,'Captura BMS'!$B$1:$B$200,"Procortes")</f>
        <v/>
      </c>
      <c r="K12" s="5">
        <f>SUM(C12:J12)</f>
        <v/>
      </c>
      <c r="L12" s="5">
        <f>IFERROR(AVERAGEIF(C12:J12,"&gt;0"),0)</f>
        <v/>
      </c>
      <c r="M12" s="6">
        <f>IF(OR(C12=0,J12=0),"",J12/C12-1)</f>
        <v/>
      </c>
    </row>
    <row r="13">
      <c r="A13" s="4" t="inlineStr">
        <is>
          <t>Mezcales</t>
        </is>
      </c>
      <c r="B13" s="4" t="inlineStr">
        <is>
          <t>28-sep-2026</t>
        </is>
      </c>
      <c r="C13" s="5">
        <f>SUMIFS('Captura BMS'!$C$1:$C$200,'Captura BMS'!$A$1:$A$200,$A13,'Captura BMS'!$B$1:$B$200,"Julio Alejandro")+SUMIFS('Captura BMS'!$C$1:$C$200,'Captura BMS'!$A$1:$A$200,$A13,'Captura BMS'!$B$1:$B$200,"Procortes")</f>
        <v/>
      </c>
      <c r="D13" s="5">
        <f>SUMIFS('Captura BMS'!$D$1:$D$200,'Captura BMS'!$A$1:$A$200,$A13,'Captura BMS'!$B$1:$B$200,"Julio Alejandro")+SUMIFS('Captura BMS'!$D$1:$D$200,'Captura BMS'!$A$1:$A$200,$A13,'Captura BMS'!$B$1:$B$200,"Procortes")</f>
        <v/>
      </c>
      <c r="E13" s="5">
        <f>SUMIFS('Captura BMS'!$E$1:$E$200,'Captura BMS'!$A$1:$A$200,$A13,'Captura BMS'!$B$1:$B$200,"Julio Alejandro")+SUMIFS('Captura BMS'!$E$1:$E$200,'Captura BMS'!$A$1:$A$200,$A13,'Captura BMS'!$B$1:$B$200,"Procortes")</f>
        <v/>
      </c>
      <c r="F13" s="5">
        <f>SUMIFS('Captura BMS'!$F$1:$F$200,'Captura BMS'!$A$1:$A$200,$A13,'Captura BMS'!$B$1:$B$200,"Julio Alejandro")+SUMIFS('Captura BMS'!$F$1:$F$200,'Captura BMS'!$A$1:$A$200,$A13,'Captura BMS'!$B$1:$B$200,"Procortes")</f>
        <v/>
      </c>
      <c r="G13" s="5">
        <f>SUMIFS('Captura BMS'!$G$1:$G$200,'Captura BMS'!$A$1:$A$200,$A13,'Captura BMS'!$B$1:$B$200,"Julio Alejandro")+SUMIFS('Captura BMS'!$G$1:$G$200,'Captura BMS'!$A$1:$A$200,$A13,'Captura BMS'!$B$1:$B$200,"Procortes")</f>
        <v/>
      </c>
      <c r="H13" s="5">
        <f>SUMIFS('Captura BMS'!$H$1:$H$200,'Captura BMS'!$A$1:$A$200,$A13,'Captura BMS'!$B$1:$B$200,"Julio Alejandro")+SUMIFS('Captura BMS'!$H$1:$H$200,'Captura BMS'!$A$1:$A$200,$A13,'Captura BMS'!$B$1:$B$200,"Procortes")</f>
        <v/>
      </c>
      <c r="I13" s="5">
        <f>SUMIFS('Captura BMS'!$I$1:$I$200,'Captura BMS'!$A$1:$A$200,$A13,'Captura BMS'!$B$1:$B$200,"Julio Alejandro")+SUMIFS('Captura BMS'!$I$1:$I$200,'Captura BMS'!$A$1:$A$200,$A13,'Captura BMS'!$B$1:$B$200,"Procortes")</f>
        <v/>
      </c>
      <c r="J13" s="5">
        <f>SUMIFS('Captura BMS'!$J$1:$J$200,'Captura BMS'!$A$1:$A$200,$A13,'Captura BMS'!$B$1:$B$200,"Julio Alejandro")+SUMIFS('Captura BMS'!$J$1:$J$200,'Captura BMS'!$A$1:$A$200,$A13,'Captura BMS'!$B$1:$B$200,"Procortes")</f>
        <v/>
      </c>
      <c r="K13" s="5">
        <f>SUM(C13:J13)</f>
        <v/>
      </c>
      <c r="L13" s="5">
        <f>IFERROR(AVERAGEIF(C13:J13,"&gt;0"),0)</f>
        <v/>
      </c>
      <c r="M13" s="6">
        <f>IF(OR(C13=0,J13=0),"",J13/C13-1)</f>
        <v/>
      </c>
    </row>
    <row r="14">
      <c r="A14" s="4" t="inlineStr">
        <is>
          <t>Mojoneras</t>
        </is>
      </c>
      <c r="B14" s="4" t="inlineStr">
        <is>
          <t>—</t>
        </is>
      </c>
      <c r="C14" s="5">
        <f>SUMIFS('Captura BMS'!$C$1:$C$200,'Captura BMS'!$A$1:$A$200,$A14,'Captura BMS'!$B$1:$B$200,"Julio Alejandro")+SUMIFS('Captura BMS'!$C$1:$C$200,'Captura BMS'!$A$1:$A$200,$A14,'Captura BMS'!$B$1:$B$200,"Procortes")</f>
        <v/>
      </c>
      <c r="D14" s="5">
        <f>SUMIFS('Captura BMS'!$D$1:$D$200,'Captura BMS'!$A$1:$A$200,$A14,'Captura BMS'!$B$1:$B$200,"Julio Alejandro")+SUMIFS('Captura BMS'!$D$1:$D$200,'Captura BMS'!$A$1:$A$200,$A14,'Captura BMS'!$B$1:$B$200,"Procortes")</f>
        <v/>
      </c>
      <c r="E14" s="5">
        <f>SUMIFS('Captura BMS'!$E$1:$E$200,'Captura BMS'!$A$1:$A$200,$A14,'Captura BMS'!$B$1:$B$200,"Julio Alejandro")+SUMIFS('Captura BMS'!$E$1:$E$200,'Captura BMS'!$A$1:$A$200,$A14,'Captura BMS'!$B$1:$B$200,"Procortes")</f>
        <v/>
      </c>
      <c r="F14" s="5">
        <f>SUMIFS('Captura BMS'!$F$1:$F$200,'Captura BMS'!$A$1:$A$200,$A14,'Captura BMS'!$B$1:$B$200,"Julio Alejandro")+SUMIFS('Captura BMS'!$F$1:$F$200,'Captura BMS'!$A$1:$A$200,$A14,'Captura BMS'!$B$1:$B$200,"Procortes")</f>
        <v/>
      </c>
      <c r="G14" s="5">
        <f>SUMIFS('Captura BMS'!$G$1:$G$200,'Captura BMS'!$A$1:$A$200,$A14,'Captura BMS'!$B$1:$B$200,"Julio Alejandro")+SUMIFS('Captura BMS'!$G$1:$G$200,'Captura BMS'!$A$1:$A$200,$A14,'Captura BMS'!$B$1:$B$200,"Procortes")</f>
        <v/>
      </c>
      <c r="H14" s="5">
        <f>SUMIFS('Captura BMS'!$H$1:$H$200,'Captura BMS'!$A$1:$A$200,$A14,'Captura BMS'!$B$1:$B$200,"Julio Alejandro")+SUMIFS('Captura BMS'!$H$1:$H$200,'Captura BMS'!$A$1:$A$200,$A14,'Captura BMS'!$B$1:$B$200,"Procortes")</f>
        <v/>
      </c>
      <c r="I14" s="5">
        <f>SUMIFS('Captura BMS'!$I$1:$I$200,'Captura BMS'!$A$1:$A$200,$A14,'Captura BMS'!$B$1:$B$200,"Julio Alejandro")+SUMIFS('Captura BMS'!$I$1:$I$200,'Captura BMS'!$A$1:$A$200,$A14,'Captura BMS'!$B$1:$B$200,"Procortes")</f>
        <v/>
      </c>
      <c r="J14" s="5">
        <f>SUMIFS('Captura BMS'!$J$1:$J$200,'Captura BMS'!$A$1:$A$200,$A14,'Captura BMS'!$B$1:$B$200,"Julio Alejandro")+SUMIFS('Captura BMS'!$J$1:$J$200,'Captura BMS'!$A$1:$A$200,$A14,'Captura BMS'!$B$1:$B$200,"Procortes")</f>
        <v/>
      </c>
      <c r="K14" s="5">
        <f>SUM(C14:J14)</f>
        <v/>
      </c>
      <c r="L14" s="5">
        <f>IFERROR(AVERAGEIF(C14:J14,"&gt;0"),0)</f>
        <v/>
      </c>
      <c r="M14" s="6">
        <f>IF(OR(C14=0,J14=0),"",J14/C14-1)</f>
        <v/>
      </c>
    </row>
    <row r="15">
      <c r="A15" s="4" t="inlineStr">
        <is>
          <t>Nayarabastos</t>
        </is>
      </c>
      <c r="B15" s="4" t="inlineStr">
        <is>
          <t>—</t>
        </is>
      </c>
      <c r="C15" s="5">
        <f>SUMIFS('Captura BMS'!$C$1:$C$200,'Captura BMS'!$A$1:$A$200,$A15,'Captura BMS'!$B$1:$B$200,"Julio Alejandro")+SUMIFS('Captura BMS'!$C$1:$C$200,'Captura BMS'!$A$1:$A$200,$A15,'Captura BMS'!$B$1:$B$200,"Procortes")</f>
        <v/>
      </c>
      <c r="D15" s="5">
        <f>SUMIFS('Captura BMS'!$D$1:$D$200,'Captura BMS'!$A$1:$A$200,$A15,'Captura BMS'!$B$1:$B$200,"Julio Alejandro")+SUMIFS('Captura BMS'!$D$1:$D$200,'Captura BMS'!$A$1:$A$200,$A15,'Captura BMS'!$B$1:$B$200,"Procortes")</f>
        <v/>
      </c>
      <c r="E15" s="5">
        <f>SUMIFS('Captura BMS'!$E$1:$E$200,'Captura BMS'!$A$1:$A$200,$A15,'Captura BMS'!$B$1:$B$200,"Julio Alejandro")+SUMIFS('Captura BMS'!$E$1:$E$200,'Captura BMS'!$A$1:$A$200,$A15,'Captura BMS'!$B$1:$B$200,"Procortes")</f>
        <v/>
      </c>
      <c r="F15" s="5">
        <f>SUMIFS('Captura BMS'!$F$1:$F$200,'Captura BMS'!$A$1:$A$200,$A15,'Captura BMS'!$B$1:$B$200,"Julio Alejandro")+SUMIFS('Captura BMS'!$F$1:$F$200,'Captura BMS'!$A$1:$A$200,$A15,'Captura BMS'!$B$1:$B$200,"Procortes")</f>
        <v/>
      </c>
      <c r="G15" s="5">
        <f>SUMIFS('Captura BMS'!$G$1:$G$200,'Captura BMS'!$A$1:$A$200,$A15,'Captura BMS'!$B$1:$B$200,"Julio Alejandro")+SUMIFS('Captura BMS'!$G$1:$G$200,'Captura BMS'!$A$1:$A$200,$A15,'Captura BMS'!$B$1:$B$200,"Procortes")</f>
        <v/>
      </c>
      <c r="H15" s="5">
        <f>SUMIFS('Captura BMS'!$H$1:$H$200,'Captura BMS'!$A$1:$A$200,$A15,'Captura BMS'!$B$1:$B$200,"Julio Alejandro")+SUMIFS('Captura BMS'!$H$1:$H$200,'Captura BMS'!$A$1:$A$200,$A15,'Captura BMS'!$B$1:$B$200,"Procortes")</f>
        <v/>
      </c>
      <c r="I15" s="5">
        <f>SUMIFS('Captura BMS'!$I$1:$I$200,'Captura BMS'!$A$1:$A$200,$A15,'Captura BMS'!$B$1:$B$200,"Julio Alejandro")+SUMIFS('Captura BMS'!$I$1:$I$200,'Captura BMS'!$A$1:$A$200,$A15,'Captura BMS'!$B$1:$B$200,"Procortes")</f>
        <v/>
      </c>
      <c r="J15" s="5">
        <f>SUMIFS('Captura BMS'!$J$1:$J$200,'Captura BMS'!$A$1:$A$200,$A15,'Captura BMS'!$B$1:$B$200,"Julio Alejandro")+SUMIFS('Captura BMS'!$J$1:$J$200,'Captura BMS'!$A$1:$A$200,$A15,'Captura BMS'!$B$1:$B$200,"Procortes")</f>
        <v/>
      </c>
      <c r="K15" s="5">
        <f>SUM(C15:J15)</f>
        <v/>
      </c>
      <c r="L15" s="5">
        <f>IFERROR(AVERAGEIF(C15:J15,"&gt;0"),0)</f>
        <v/>
      </c>
      <c r="M15" s="6">
        <f>IF(OR(C15=0,J15=0),"",J15/C15-1)</f>
        <v/>
      </c>
    </row>
    <row r="16">
      <c r="A16" s="4" t="inlineStr">
        <is>
          <t>Peñita</t>
        </is>
      </c>
      <c r="B16" s="4" t="inlineStr">
        <is>
          <t>14-sep-2026</t>
        </is>
      </c>
      <c r="C16" s="5">
        <f>SUMIFS('Captura BMS'!$C$1:$C$200,'Captura BMS'!$A$1:$A$200,$A16,'Captura BMS'!$B$1:$B$200,"Julio Alejandro")+SUMIFS('Captura BMS'!$C$1:$C$200,'Captura BMS'!$A$1:$A$200,$A16,'Captura BMS'!$B$1:$B$200,"Procortes")</f>
        <v/>
      </c>
      <c r="D16" s="5">
        <f>SUMIFS('Captura BMS'!$D$1:$D$200,'Captura BMS'!$A$1:$A$200,$A16,'Captura BMS'!$B$1:$B$200,"Julio Alejandro")+SUMIFS('Captura BMS'!$D$1:$D$200,'Captura BMS'!$A$1:$A$200,$A16,'Captura BMS'!$B$1:$B$200,"Procortes")</f>
        <v/>
      </c>
      <c r="E16" s="5">
        <f>SUMIFS('Captura BMS'!$E$1:$E$200,'Captura BMS'!$A$1:$A$200,$A16,'Captura BMS'!$B$1:$B$200,"Julio Alejandro")+SUMIFS('Captura BMS'!$E$1:$E$200,'Captura BMS'!$A$1:$A$200,$A16,'Captura BMS'!$B$1:$B$200,"Procortes")</f>
        <v/>
      </c>
      <c r="F16" s="5">
        <f>SUMIFS('Captura BMS'!$F$1:$F$200,'Captura BMS'!$A$1:$A$200,$A16,'Captura BMS'!$B$1:$B$200,"Julio Alejandro")+SUMIFS('Captura BMS'!$F$1:$F$200,'Captura BMS'!$A$1:$A$200,$A16,'Captura BMS'!$B$1:$B$200,"Procortes")</f>
        <v/>
      </c>
      <c r="G16" s="5">
        <f>SUMIFS('Captura BMS'!$G$1:$G$200,'Captura BMS'!$A$1:$A$200,$A16,'Captura BMS'!$B$1:$B$200,"Julio Alejandro")+SUMIFS('Captura BMS'!$G$1:$G$200,'Captura BMS'!$A$1:$A$200,$A16,'Captura BMS'!$B$1:$B$200,"Procortes")</f>
        <v/>
      </c>
      <c r="H16" s="5">
        <f>SUMIFS('Captura BMS'!$H$1:$H$200,'Captura BMS'!$A$1:$A$200,$A16,'Captura BMS'!$B$1:$B$200,"Julio Alejandro")+SUMIFS('Captura BMS'!$H$1:$H$200,'Captura BMS'!$A$1:$A$200,$A16,'Captura BMS'!$B$1:$B$200,"Procortes")</f>
        <v/>
      </c>
      <c r="I16" s="5">
        <f>SUMIFS('Captura BMS'!$I$1:$I$200,'Captura BMS'!$A$1:$A$200,$A16,'Captura BMS'!$B$1:$B$200,"Julio Alejandro")+SUMIFS('Captura BMS'!$I$1:$I$200,'Captura BMS'!$A$1:$A$200,$A16,'Captura BMS'!$B$1:$B$200,"Procortes")</f>
        <v/>
      </c>
      <c r="J16" s="5">
        <f>SUMIFS('Captura BMS'!$J$1:$J$200,'Captura BMS'!$A$1:$A$200,$A16,'Captura BMS'!$B$1:$B$200,"Julio Alejandro")+SUMIFS('Captura BMS'!$J$1:$J$200,'Captura BMS'!$A$1:$A$200,$A16,'Captura BMS'!$B$1:$B$200,"Procortes")</f>
        <v/>
      </c>
      <c r="K16" s="5">
        <f>SUM(C16:J16)</f>
        <v/>
      </c>
      <c r="L16" s="5">
        <f>IFERROR(AVERAGEIF(C16:J16,"&gt;0"),0)</f>
        <v/>
      </c>
      <c r="M16" s="6">
        <f>IF(OR(C16=0,J16=0),"",J16/C16-1)</f>
        <v/>
      </c>
    </row>
    <row r="17">
      <c r="A17" s="4" t="inlineStr">
        <is>
          <t>Pitillal</t>
        </is>
      </c>
      <c r="B17" s="4" t="inlineStr">
        <is>
          <t>—</t>
        </is>
      </c>
      <c r="C17" s="5">
        <f>SUMIFS('Captura BMS'!$C$1:$C$200,'Captura BMS'!$A$1:$A$200,$A17,'Captura BMS'!$B$1:$B$200,"Julio Alejandro")+SUMIFS('Captura BMS'!$C$1:$C$200,'Captura BMS'!$A$1:$A$200,$A17,'Captura BMS'!$B$1:$B$200,"Procortes")</f>
        <v/>
      </c>
      <c r="D17" s="5">
        <f>SUMIFS('Captura BMS'!$D$1:$D$200,'Captura BMS'!$A$1:$A$200,$A17,'Captura BMS'!$B$1:$B$200,"Julio Alejandro")+SUMIFS('Captura BMS'!$D$1:$D$200,'Captura BMS'!$A$1:$A$200,$A17,'Captura BMS'!$B$1:$B$200,"Procortes")</f>
        <v/>
      </c>
      <c r="E17" s="5">
        <f>SUMIFS('Captura BMS'!$E$1:$E$200,'Captura BMS'!$A$1:$A$200,$A17,'Captura BMS'!$B$1:$B$200,"Julio Alejandro")+SUMIFS('Captura BMS'!$E$1:$E$200,'Captura BMS'!$A$1:$A$200,$A17,'Captura BMS'!$B$1:$B$200,"Procortes")</f>
        <v/>
      </c>
      <c r="F17" s="5">
        <f>SUMIFS('Captura BMS'!$F$1:$F$200,'Captura BMS'!$A$1:$A$200,$A17,'Captura BMS'!$B$1:$B$200,"Julio Alejandro")+SUMIFS('Captura BMS'!$F$1:$F$200,'Captura BMS'!$A$1:$A$200,$A17,'Captura BMS'!$B$1:$B$200,"Procortes")</f>
        <v/>
      </c>
      <c r="G17" s="5">
        <f>SUMIFS('Captura BMS'!$G$1:$G$200,'Captura BMS'!$A$1:$A$200,$A17,'Captura BMS'!$B$1:$B$200,"Julio Alejandro")+SUMIFS('Captura BMS'!$G$1:$G$200,'Captura BMS'!$A$1:$A$200,$A17,'Captura BMS'!$B$1:$B$200,"Procortes")</f>
        <v/>
      </c>
      <c r="H17" s="5">
        <f>SUMIFS('Captura BMS'!$H$1:$H$200,'Captura BMS'!$A$1:$A$200,$A17,'Captura BMS'!$B$1:$B$200,"Julio Alejandro")+SUMIFS('Captura BMS'!$H$1:$H$200,'Captura BMS'!$A$1:$A$200,$A17,'Captura BMS'!$B$1:$B$200,"Procortes")</f>
        <v/>
      </c>
      <c r="I17" s="5">
        <f>SUMIFS('Captura BMS'!$I$1:$I$200,'Captura BMS'!$A$1:$A$200,$A17,'Captura BMS'!$B$1:$B$200,"Julio Alejandro")+SUMIFS('Captura BMS'!$I$1:$I$200,'Captura BMS'!$A$1:$A$200,$A17,'Captura BMS'!$B$1:$B$200,"Procortes")</f>
        <v/>
      </c>
      <c r="J17" s="5">
        <f>SUMIFS('Captura BMS'!$J$1:$J$200,'Captura BMS'!$A$1:$A$200,$A17,'Captura BMS'!$B$1:$B$200,"Julio Alejandro")+SUMIFS('Captura BMS'!$J$1:$J$200,'Captura BMS'!$A$1:$A$200,$A17,'Captura BMS'!$B$1:$B$200,"Procortes")</f>
        <v/>
      </c>
      <c r="K17" s="5">
        <f>SUM(C17:J17)</f>
        <v/>
      </c>
      <c r="L17" s="5">
        <f>IFERROR(AVERAGEIF(C17:J17,"&gt;0"),0)</f>
        <v/>
      </c>
      <c r="M17" s="6">
        <f>IF(OR(C17=0,J17=0),"",J17/C17-1)</f>
        <v/>
      </c>
    </row>
    <row r="18">
      <c r="A18" s="4" t="inlineStr">
        <is>
          <t>Poetas</t>
        </is>
      </c>
      <c r="B18" s="4" t="inlineStr">
        <is>
          <t>—</t>
        </is>
      </c>
      <c r="C18" s="5">
        <f>SUMIFS('Captura BMS'!$C$1:$C$200,'Captura BMS'!$A$1:$A$200,$A18,'Captura BMS'!$B$1:$B$200,"Julio Alejandro")+SUMIFS('Captura BMS'!$C$1:$C$200,'Captura BMS'!$A$1:$A$200,$A18,'Captura BMS'!$B$1:$B$200,"Procortes")</f>
        <v/>
      </c>
      <c r="D18" s="5">
        <f>SUMIFS('Captura BMS'!$D$1:$D$200,'Captura BMS'!$A$1:$A$200,$A18,'Captura BMS'!$B$1:$B$200,"Julio Alejandro")+SUMIFS('Captura BMS'!$D$1:$D$200,'Captura BMS'!$A$1:$A$200,$A18,'Captura BMS'!$B$1:$B$200,"Procortes")</f>
        <v/>
      </c>
      <c r="E18" s="5">
        <f>SUMIFS('Captura BMS'!$E$1:$E$200,'Captura BMS'!$A$1:$A$200,$A18,'Captura BMS'!$B$1:$B$200,"Julio Alejandro")+SUMIFS('Captura BMS'!$E$1:$E$200,'Captura BMS'!$A$1:$A$200,$A18,'Captura BMS'!$B$1:$B$200,"Procortes")</f>
        <v/>
      </c>
      <c r="F18" s="5">
        <f>SUMIFS('Captura BMS'!$F$1:$F$200,'Captura BMS'!$A$1:$A$200,$A18,'Captura BMS'!$B$1:$B$200,"Julio Alejandro")+SUMIFS('Captura BMS'!$F$1:$F$200,'Captura BMS'!$A$1:$A$200,$A18,'Captura BMS'!$B$1:$B$200,"Procortes")</f>
        <v/>
      </c>
      <c r="G18" s="5">
        <f>SUMIFS('Captura BMS'!$G$1:$G$200,'Captura BMS'!$A$1:$A$200,$A18,'Captura BMS'!$B$1:$B$200,"Julio Alejandro")+SUMIFS('Captura BMS'!$G$1:$G$200,'Captura BMS'!$A$1:$A$200,$A18,'Captura BMS'!$B$1:$B$200,"Procortes")</f>
        <v/>
      </c>
      <c r="H18" s="5">
        <f>SUMIFS('Captura BMS'!$H$1:$H$200,'Captura BMS'!$A$1:$A$200,$A18,'Captura BMS'!$B$1:$B$200,"Julio Alejandro")+SUMIFS('Captura BMS'!$H$1:$H$200,'Captura BMS'!$A$1:$A$200,$A18,'Captura BMS'!$B$1:$B$200,"Procortes")</f>
        <v/>
      </c>
      <c r="I18" s="5">
        <f>SUMIFS('Captura BMS'!$I$1:$I$200,'Captura BMS'!$A$1:$A$200,$A18,'Captura BMS'!$B$1:$B$200,"Julio Alejandro")+SUMIFS('Captura BMS'!$I$1:$I$200,'Captura BMS'!$A$1:$A$200,$A18,'Captura BMS'!$B$1:$B$200,"Procortes")</f>
        <v/>
      </c>
      <c r="J18" s="5">
        <f>SUMIFS('Captura BMS'!$J$1:$J$200,'Captura BMS'!$A$1:$A$200,$A18,'Captura BMS'!$B$1:$B$200,"Julio Alejandro")+SUMIFS('Captura BMS'!$J$1:$J$200,'Captura BMS'!$A$1:$A$200,$A18,'Captura BMS'!$B$1:$B$200,"Procortes")</f>
        <v/>
      </c>
      <c r="K18" s="5">
        <f>SUM(C18:J18)</f>
        <v/>
      </c>
      <c r="L18" s="5">
        <f>IFERROR(AVERAGEIF(C18:J18,"&gt;0"),0)</f>
        <v/>
      </c>
      <c r="M18" s="6">
        <f>IF(OR(C18=0,J18=0),"",J18/C18-1)</f>
        <v/>
      </c>
    </row>
    <row r="19">
      <c r="A19" s="4" t="inlineStr">
        <is>
          <t>Romántica</t>
        </is>
      </c>
      <c r="B19" s="4" t="inlineStr">
        <is>
          <t>—</t>
        </is>
      </c>
      <c r="C19" s="5">
        <f>SUMIFS('Captura BMS'!$C$1:$C$200,'Captura BMS'!$A$1:$A$200,$A19,'Captura BMS'!$B$1:$B$200,"Julio Alejandro")+SUMIFS('Captura BMS'!$C$1:$C$200,'Captura BMS'!$A$1:$A$200,$A19,'Captura BMS'!$B$1:$B$200,"Procortes")</f>
        <v/>
      </c>
      <c r="D19" s="5">
        <f>SUMIFS('Captura BMS'!$D$1:$D$200,'Captura BMS'!$A$1:$A$200,$A19,'Captura BMS'!$B$1:$B$200,"Julio Alejandro")+SUMIFS('Captura BMS'!$D$1:$D$200,'Captura BMS'!$A$1:$A$200,$A19,'Captura BMS'!$B$1:$B$200,"Procortes")</f>
        <v/>
      </c>
      <c r="E19" s="5">
        <f>SUMIFS('Captura BMS'!$E$1:$E$200,'Captura BMS'!$A$1:$A$200,$A19,'Captura BMS'!$B$1:$B$200,"Julio Alejandro")+SUMIFS('Captura BMS'!$E$1:$E$200,'Captura BMS'!$A$1:$A$200,$A19,'Captura BMS'!$B$1:$B$200,"Procortes")</f>
        <v/>
      </c>
      <c r="F19" s="5">
        <f>SUMIFS('Captura BMS'!$F$1:$F$200,'Captura BMS'!$A$1:$A$200,$A19,'Captura BMS'!$B$1:$B$200,"Julio Alejandro")+SUMIFS('Captura BMS'!$F$1:$F$200,'Captura BMS'!$A$1:$A$200,$A19,'Captura BMS'!$B$1:$B$200,"Procortes")</f>
        <v/>
      </c>
      <c r="G19" s="5">
        <f>SUMIFS('Captura BMS'!$G$1:$G$200,'Captura BMS'!$A$1:$A$200,$A19,'Captura BMS'!$B$1:$B$200,"Julio Alejandro")+SUMIFS('Captura BMS'!$G$1:$G$200,'Captura BMS'!$A$1:$A$200,$A19,'Captura BMS'!$B$1:$B$200,"Procortes")</f>
        <v/>
      </c>
      <c r="H19" s="5">
        <f>SUMIFS('Captura BMS'!$H$1:$H$200,'Captura BMS'!$A$1:$A$200,$A19,'Captura BMS'!$B$1:$B$200,"Julio Alejandro")+SUMIFS('Captura BMS'!$H$1:$H$200,'Captura BMS'!$A$1:$A$200,$A19,'Captura BMS'!$B$1:$B$200,"Procortes")</f>
        <v/>
      </c>
      <c r="I19" s="5">
        <f>SUMIFS('Captura BMS'!$I$1:$I$200,'Captura BMS'!$A$1:$A$200,$A19,'Captura BMS'!$B$1:$B$200,"Julio Alejandro")+SUMIFS('Captura BMS'!$I$1:$I$200,'Captura BMS'!$A$1:$A$200,$A19,'Captura BMS'!$B$1:$B$200,"Procortes")</f>
        <v/>
      </c>
      <c r="J19" s="5">
        <f>SUMIFS('Captura BMS'!$J$1:$J$200,'Captura BMS'!$A$1:$A$200,$A19,'Captura BMS'!$B$1:$B$200,"Julio Alejandro")+SUMIFS('Captura BMS'!$J$1:$J$200,'Captura BMS'!$A$1:$A$200,$A19,'Captura BMS'!$B$1:$B$200,"Procortes")</f>
        <v/>
      </c>
      <c r="K19" s="5">
        <f>SUM(C19:J19)</f>
        <v/>
      </c>
      <c r="L19" s="5">
        <f>IFERROR(AVERAGEIF(C19:J19,"&gt;0"),0)</f>
        <v/>
      </c>
      <c r="M19" s="6">
        <f>IF(OR(C19=0,J19=0),"",J19/C19-1)</f>
        <v/>
      </c>
    </row>
    <row r="20">
      <c r="A20" s="4" t="inlineStr">
        <is>
          <t>San José</t>
        </is>
      </c>
      <c r="B20" s="4" t="inlineStr">
        <is>
          <t>19-oct-2026</t>
        </is>
      </c>
      <c r="C20" s="5">
        <f>SUMIFS('Captura BMS'!$C$1:$C$200,'Captura BMS'!$A$1:$A$200,$A20,'Captura BMS'!$B$1:$B$200,"Julio Alejandro")+SUMIFS('Captura BMS'!$C$1:$C$200,'Captura BMS'!$A$1:$A$200,$A20,'Captura BMS'!$B$1:$B$200,"Procortes")</f>
        <v/>
      </c>
      <c r="D20" s="5">
        <f>SUMIFS('Captura BMS'!$D$1:$D$200,'Captura BMS'!$A$1:$A$200,$A20,'Captura BMS'!$B$1:$B$200,"Julio Alejandro")+SUMIFS('Captura BMS'!$D$1:$D$200,'Captura BMS'!$A$1:$A$200,$A20,'Captura BMS'!$B$1:$B$200,"Procortes")</f>
        <v/>
      </c>
      <c r="E20" s="5">
        <f>SUMIFS('Captura BMS'!$E$1:$E$200,'Captura BMS'!$A$1:$A$200,$A20,'Captura BMS'!$B$1:$B$200,"Julio Alejandro")+SUMIFS('Captura BMS'!$E$1:$E$200,'Captura BMS'!$A$1:$A$200,$A20,'Captura BMS'!$B$1:$B$200,"Procortes")</f>
        <v/>
      </c>
      <c r="F20" s="5">
        <f>SUMIFS('Captura BMS'!$F$1:$F$200,'Captura BMS'!$A$1:$A$200,$A20,'Captura BMS'!$B$1:$B$200,"Julio Alejandro")+SUMIFS('Captura BMS'!$F$1:$F$200,'Captura BMS'!$A$1:$A$200,$A20,'Captura BMS'!$B$1:$B$200,"Procortes")</f>
        <v/>
      </c>
      <c r="G20" s="5">
        <f>SUMIFS('Captura BMS'!$G$1:$G$200,'Captura BMS'!$A$1:$A$200,$A20,'Captura BMS'!$B$1:$B$200,"Julio Alejandro")+SUMIFS('Captura BMS'!$G$1:$G$200,'Captura BMS'!$A$1:$A$200,$A20,'Captura BMS'!$B$1:$B$200,"Procortes")</f>
        <v/>
      </c>
      <c r="H20" s="5">
        <f>SUMIFS('Captura BMS'!$H$1:$H$200,'Captura BMS'!$A$1:$A$200,$A20,'Captura BMS'!$B$1:$B$200,"Julio Alejandro")+SUMIFS('Captura BMS'!$H$1:$H$200,'Captura BMS'!$A$1:$A$200,$A20,'Captura BMS'!$B$1:$B$200,"Procortes")</f>
        <v/>
      </c>
      <c r="I20" s="5">
        <f>SUMIFS('Captura BMS'!$I$1:$I$200,'Captura BMS'!$A$1:$A$200,$A20,'Captura BMS'!$B$1:$B$200,"Julio Alejandro")+SUMIFS('Captura BMS'!$I$1:$I$200,'Captura BMS'!$A$1:$A$200,$A20,'Captura BMS'!$B$1:$B$200,"Procortes")</f>
        <v/>
      </c>
      <c r="J20" s="5">
        <f>SUMIFS('Captura BMS'!$J$1:$J$200,'Captura BMS'!$A$1:$A$200,$A20,'Captura BMS'!$B$1:$B$200,"Julio Alejandro")+SUMIFS('Captura BMS'!$J$1:$J$200,'Captura BMS'!$A$1:$A$200,$A20,'Captura BMS'!$B$1:$B$200,"Procortes")</f>
        <v/>
      </c>
      <c r="K20" s="5">
        <f>SUM(C20:J20)</f>
        <v/>
      </c>
      <c r="L20" s="5">
        <f>IFERROR(AVERAGEIF(C20:J20,"&gt;0"),0)</f>
        <v/>
      </c>
      <c r="M20" s="6">
        <f>IF(OR(C20=0,J20=0),"",J20/C20-1)</f>
        <v/>
      </c>
    </row>
    <row r="21">
      <c r="A21" s="4" t="inlineStr">
        <is>
          <t>San Vicente</t>
        </is>
      </c>
      <c r="B21" s="4" t="inlineStr">
        <is>
          <t>12-oct-2026</t>
        </is>
      </c>
      <c r="C21" s="5">
        <f>SUMIFS('Captura BMS'!$C$1:$C$200,'Captura BMS'!$A$1:$A$200,$A21,'Captura BMS'!$B$1:$B$200,"Julio Alejandro")+SUMIFS('Captura BMS'!$C$1:$C$200,'Captura BMS'!$A$1:$A$200,$A21,'Captura BMS'!$B$1:$B$200,"Procortes")</f>
        <v/>
      </c>
      <c r="D21" s="5">
        <f>SUMIFS('Captura BMS'!$D$1:$D$200,'Captura BMS'!$A$1:$A$200,$A21,'Captura BMS'!$B$1:$B$200,"Julio Alejandro")+SUMIFS('Captura BMS'!$D$1:$D$200,'Captura BMS'!$A$1:$A$200,$A21,'Captura BMS'!$B$1:$B$200,"Procortes")</f>
        <v/>
      </c>
      <c r="E21" s="5">
        <f>SUMIFS('Captura BMS'!$E$1:$E$200,'Captura BMS'!$A$1:$A$200,$A21,'Captura BMS'!$B$1:$B$200,"Julio Alejandro")+SUMIFS('Captura BMS'!$E$1:$E$200,'Captura BMS'!$A$1:$A$200,$A21,'Captura BMS'!$B$1:$B$200,"Procortes")</f>
        <v/>
      </c>
      <c r="F21" s="5">
        <f>SUMIFS('Captura BMS'!$F$1:$F$200,'Captura BMS'!$A$1:$A$200,$A21,'Captura BMS'!$B$1:$B$200,"Julio Alejandro")+SUMIFS('Captura BMS'!$F$1:$F$200,'Captura BMS'!$A$1:$A$200,$A21,'Captura BMS'!$B$1:$B$200,"Procortes")</f>
        <v/>
      </c>
      <c r="G21" s="5">
        <f>SUMIFS('Captura BMS'!$G$1:$G$200,'Captura BMS'!$A$1:$A$200,$A21,'Captura BMS'!$B$1:$B$200,"Julio Alejandro")+SUMIFS('Captura BMS'!$G$1:$G$200,'Captura BMS'!$A$1:$A$200,$A21,'Captura BMS'!$B$1:$B$200,"Procortes")</f>
        <v/>
      </c>
      <c r="H21" s="5">
        <f>SUMIFS('Captura BMS'!$H$1:$H$200,'Captura BMS'!$A$1:$A$200,$A21,'Captura BMS'!$B$1:$B$200,"Julio Alejandro")+SUMIFS('Captura BMS'!$H$1:$H$200,'Captura BMS'!$A$1:$A$200,$A21,'Captura BMS'!$B$1:$B$200,"Procortes")</f>
        <v/>
      </c>
      <c r="I21" s="5">
        <f>SUMIFS('Captura BMS'!$I$1:$I$200,'Captura BMS'!$A$1:$A$200,$A21,'Captura BMS'!$B$1:$B$200,"Julio Alejandro")+SUMIFS('Captura BMS'!$I$1:$I$200,'Captura BMS'!$A$1:$A$200,$A21,'Captura BMS'!$B$1:$B$200,"Procortes")</f>
        <v/>
      </c>
      <c r="J21" s="5">
        <f>SUMIFS('Captura BMS'!$J$1:$J$200,'Captura BMS'!$A$1:$A$200,$A21,'Captura BMS'!$B$1:$B$200,"Julio Alejandro")+SUMIFS('Captura BMS'!$J$1:$J$200,'Captura BMS'!$A$1:$A$200,$A21,'Captura BMS'!$B$1:$B$200,"Procortes")</f>
        <v/>
      </c>
      <c r="K21" s="5">
        <f>SUM(C21:J21)</f>
        <v/>
      </c>
      <c r="L21" s="5">
        <f>IFERROR(AVERAGEIF(C21:J21,"&gt;0"),0)</f>
        <v/>
      </c>
      <c r="M21" s="6">
        <f>IF(OR(C21=0,J21=0),"",J21/C21-1)</f>
        <v/>
      </c>
    </row>
    <row r="22">
      <c r="A22" s="4" t="inlineStr">
        <is>
          <t>Santiago</t>
        </is>
      </c>
      <c r="B22" s="4" t="inlineStr">
        <is>
          <t>24-ago-2026</t>
        </is>
      </c>
      <c r="C22" s="5">
        <f>SUMIFS('Captura BMS'!$C$1:$C$200,'Captura BMS'!$A$1:$A$200,$A22,'Captura BMS'!$B$1:$B$200,"Julio Alejandro")+SUMIFS('Captura BMS'!$C$1:$C$200,'Captura BMS'!$A$1:$A$200,$A22,'Captura BMS'!$B$1:$B$200,"Procortes")</f>
        <v/>
      </c>
      <c r="D22" s="5">
        <f>SUMIFS('Captura BMS'!$D$1:$D$200,'Captura BMS'!$A$1:$A$200,$A22,'Captura BMS'!$B$1:$B$200,"Julio Alejandro")+SUMIFS('Captura BMS'!$D$1:$D$200,'Captura BMS'!$A$1:$A$200,$A22,'Captura BMS'!$B$1:$B$200,"Procortes")</f>
        <v/>
      </c>
      <c r="E22" s="5">
        <f>SUMIFS('Captura BMS'!$E$1:$E$200,'Captura BMS'!$A$1:$A$200,$A22,'Captura BMS'!$B$1:$B$200,"Julio Alejandro")+SUMIFS('Captura BMS'!$E$1:$E$200,'Captura BMS'!$A$1:$A$200,$A22,'Captura BMS'!$B$1:$B$200,"Procortes")</f>
        <v/>
      </c>
      <c r="F22" s="5">
        <f>SUMIFS('Captura BMS'!$F$1:$F$200,'Captura BMS'!$A$1:$A$200,$A22,'Captura BMS'!$B$1:$B$200,"Julio Alejandro")+SUMIFS('Captura BMS'!$F$1:$F$200,'Captura BMS'!$A$1:$A$200,$A22,'Captura BMS'!$B$1:$B$200,"Procortes")</f>
        <v/>
      </c>
      <c r="G22" s="5">
        <f>SUMIFS('Captura BMS'!$G$1:$G$200,'Captura BMS'!$A$1:$A$200,$A22,'Captura BMS'!$B$1:$B$200,"Julio Alejandro")+SUMIFS('Captura BMS'!$G$1:$G$200,'Captura BMS'!$A$1:$A$200,$A22,'Captura BMS'!$B$1:$B$200,"Procortes")</f>
        <v/>
      </c>
      <c r="H22" s="5">
        <f>SUMIFS('Captura BMS'!$H$1:$H$200,'Captura BMS'!$A$1:$A$200,$A22,'Captura BMS'!$B$1:$B$200,"Julio Alejandro")+SUMIFS('Captura BMS'!$H$1:$H$200,'Captura BMS'!$A$1:$A$200,$A22,'Captura BMS'!$B$1:$B$200,"Procortes")</f>
        <v/>
      </c>
      <c r="I22" s="5">
        <f>SUMIFS('Captura BMS'!$I$1:$I$200,'Captura BMS'!$A$1:$A$200,$A22,'Captura BMS'!$B$1:$B$200,"Julio Alejandro")+SUMIFS('Captura BMS'!$I$1:$I$200,'Captura BMS'!$A$1:$A$200,$A22,'Captura BMS'!$B$1:$B$200,"Procortes")</f>
        <v/>
      </c>
      <c r="J22" s="5">
        <f>SUMIFS('Captura BMS'!$J$1:$J$200,'Captura BMS'!$A$1:$A$200,$A22,'Captura BMS'!$B$1:$B$200,"Julio Alejandro")+SUMIFS('Captura BMS'!$J$1:$J$200,'Captura BMS'!$A$1:$A$200,$A22,'Captura BMS'!$B$1:$B$200,"Procortes")</f>
        <v/>
      </c>
      <c r="K22" s="5">
        <f>SUM(C22:J22)</f>
        <v/>
      </c>
      <c r="L22" s="5">
        <f>IFERROR(AVERAGEIF(C22:J22,"&gt;0"),0)</f>
        <v/>
      </c>
      <c r="M22" s="6">
        <f>IF(OR(C22=0,J22=0),"",J22/C22-1)</f>
        <v/>
      </c>
    </row>
    <row r="23">
      <c r="A23" s="4" t="inlineStr">
        <is>
          <t>Villa Hidalgo</t>
        </is>
      </c>
      <c r="B23" s="4" t="inlineStr">
        <is>
          <t>24-ago-2026</t>
        </is>
      </c>
      <c r="C23" s="5">
        <f>SUMIFS('Captura BMS'!$C$1:$C$200,'Captura BMS'!$A$1:$A$200,$A23,'Captura BMS'!$B$1:$B$200,"Julio Alejandro")+SUMIFS('Captura BMS'!$C$1:$C$200,'Captura BMS'!$A$1:$A$200,$A23,'Captura BMS'!$B$1:$B$200,"Procortes")</f>
        <v/>
      </c>
      <c r="D23" s="5">
        <f>SUMIFS('Captura BMS'!$D$1:$D$200,'Captura BMS'!$A$1:$A$200,$A23,'Captura BMS'!$B$1:$B$200,"Julio Alejandro")+SUMIFS('Captura BMS'!$D$1:$D$200,'Captura BMS'!$A$1:$A$200,$A23,'Captura BMS'!$B$1:$B$200,"Procortes")</f>
        <v/>
      </c>
      <c r="E23" s="5">
        <f>SUMIFS('Captura BMS'!$E$1:$E$200,'Captura BMS'!$A$1:$A$200,$A23,'Captura BMS'!$B$1:$B$200,"Julio Alejandro")+SUMIFS('Captura BMS'!$E$1:$E$200,'Captura BMS'!$A$1:$A$200,$A23,'Captura BMS'!$B$1:$B$200,"Procortes")</f>
        <v/>
      </c>
      <c r="F23" s="5">
        <f>SUMIFS('Captura BMS'!$F$1:$F$200,'Captura BMS'!$A$1:$A$200,$A23,'Captura BMS'!$B$1:$B$200,"Julio Alejandro")+SUMIFS('Captura BMS'!$F$1:$F$200,'Captura BMS'!$A$1:$A$200,$A23,'Captura BMS'!$B$1:$B$200,"Procortes")</f>
        <v/>
      </c>
      <c r="G23" s="5">
        <f>SUMIFS('Captura BMS'!$G$1:$G$200,'Captura BMS'!$A$1:$A$200,$A23,'Captura BMS'!$B$1:$B$200,"Julio Alejandro")+SUMIFS('Captura BMS'!$G$1:$G$200,'Captura BMS'!$A$1:$A$200,$A23,'Captura BMS'!$B$1:$B$200,"Procortes")</f>
        <v/>
      </c>
      <c r="H23" s="5">
        <f>SUMIFS('Captura BMS'!$H$1:$H$200,'Captura BMS'!$A$1:$A$200,$A23,'Captura BMS'!$B$1:$B$200,"Julio Alejandro")+SUMIFS('Captura BMS'!$H$1:$H$200,'Captura BMS'!$A$1:$A$200,$A23,'Captura BMS'!$B$1:$B$200,"Procortes")</f>
        <v/>
      </c>
      <c r="I23" s="5">
        <f>SUMIFS('Captura BMS'!$I$1:$I$200,'Captura BMS'!$A$1:$A$200,$A23,'Captura BMS'!$B$1:$B$200,"Julio Alejandro")+SUMIFS('Captura BMS'!$I$1:$I$200,'Captura BMS'!$A$1:$A$200,$A23,'Captura BMS'!$B$1:$B$200,"Procortes")</f>
        <v/>
      </c>
      <c r="J23" s="5">
        <f>SUMIFS('Captura BMS'!$J$1:$J$200,'Captura BMS'!$A$1:$A$200,$A23,'Captura BMS'!$B$1:$B$200,"Julio Alejandro")+SUMIFS('Captura BMS'!$J$1:$J$200,'Captura BMS'!$A$1:$A$200,$A23,'Captura BMS'!$B$1:$B$200,"Procortes")</f>
        <v/>
      </c>
      <c r="K23" s="5">
        <f>SUM(C23:J23)</f>
        <v/>
      </c>
      <c r="L23" s="5">
        <f>IFERROR(AVERAGEIF(C23:J23,"&gt;0"),0)</f>
        <v/>
      </c>
      <c r="M23" s="6">
        <f>IF(OR(C23=0,J23=0),"",J23/C23-1)</f>
        <v/>
      </c>
    </row>
    <row r="24">
      <c r="A24" s="4" t="inlineStr">
        <is>
          <t>Xalisco</t>
        </is>
      </c>
      <c r="B24" s="4" t="inlineStr">
        <is>
          <t>13-jul-2026</t>
        </is>
      </c>
      <c r="C24" s="5">
        <f>SUMIFS('Captura BMS'!$C$1:$C$200,'Captura BMS'!$A$1:$A$200,$A24,'Captura BMS'!$B$1:$B$200,"Julio Alejandro")+SUMIFS('Captura BMS'!$C$1:$C$200,'Captura BMS'!$A$1:$A$200,$A24,'Captura BMS'!$B$1:$B$200,"Procortes")</f>
        <v/>
      </c>
      <c r="D24" s="5">
        <f>SUMIFS('Captura BMS'!$D$1:$D$200,'Captura BMS'!$A$1:$A$200,$A24,'Captura BMS'!$B$1:$B$200,"Julio Alejandro")+SUMIFS('Captura BMS'!$D$1:$D$200,'Captura BMS'!$A$1:$A$200,$A24,'Captura BMS'!$B$1:$B$200,"Procortes")</f>
        <v/>
      </c>
      <c r="E24" s="5">
        <f>SUMIFS('Captura BMS'!$E$1:$E$200,'Captura BMS'!$A$1:$A$200,$A24,'Captura BMS'!$B$1:$B$200,"Julio Alejandro")+SUMIFS('Captura BMS'!$E$1:$E$200,'Captura BMS'!$A$1:$A$200,$A24,'Captura BMS'!$B$1:$B$200,"Procortes")</f>
        <v/>
      </c>
      <c r="F24" s="5">
        <f>SUMIFS('Captura BMS'!$F$1:$F$200,'Captura BMS'!$A$1:$A$200,$A24,'Captura BMS'!$B$1:$B$200,"Julio Alejandro")+SUMIFS('Captura BMS'!$F$1:$F$200,'Captura BMS'!$A$1:$A$200,$A24,'Captura BMS'!$B$1:$B$200,"Procortes")</f>
        <v/>
      </c>
      <c r="G24" s="5">
        <f>SUMIFS('Captura BMS'!$G$1:$G$200,'Captura BMS'!$A$1:$A$200,$A24,'Captura BMS'!$B$1:$B$200,"Julio Alejandro")+SUMIFS('Captura BMS'!$G$1:$G$200,'Captura BMS'!$A$1:$A$200,$A24,'Captura BMS'!$B$1:$B$200,"Procortes")</f>
        <v/>
      </c>
      <c r="H24" s="5">
        <f>SUMIFS('Captura BMS'!$H$1:$H$200,'Captura BMS'!$A$1:$A$200,$A24,'Captura BMS'!$B$1:$B$200,"Julio Alejandro")+SUMIFS('Captura BMS'!$H$1:$H$200,'Captura BMS'!$A$1:$A$200,$A24,'Captura BMS'!$B$1:$B$200,"Procortes")</f>
        <v/>
      </c>
      <c r="I24" s="5">
        <f>SUMIFS('Captura BMS'!$I$1:$I$200,'Captura BMS'!$A$1:$A$200,$A24,'Captura BMS'!$B$1:$B$200,"Julio Alejandro")+SUMIFS('Captura BMS'!$I$1:$I$200,'Captura BMS'!$A$1:$A$200,$A24,'Captura BMS'!$B$1:$B$200,"Procortes")</f>
        <v/>
      </c>
      <c r="J24" s="5">
        <f>SUMIFS('Captura BMS'!$J$1:$J$200,'Captura BMS'!$A$1:$A$200,$A24,'Captura BMS'!$B$1:$B$200,"Julio Alejandro")+SUMIFS('Captura BMS'!$J$1:$J$200,'Captura BMS'!$A$1:$A$200,$A24,'Captura BMS'!$B$1:$B$200,"Procortes")</f>
        <v/>
      </c>
      <c r="K24" s="5">
        <f>SUM(C24:J24)</f>
        <v/>
      </c>
      <c r="L24" s="5">
        <f>IFERROR(AVERAGEIF(C24:J24,"&gt;0"),0)</f>
        <v/>
      </c>
      <c r="M24" s="6">
        <f>IF(OR(C24=0,J24=0),"",J24/C24-1)</f>
        <v/>
      </c>
    </row>
    <row r="25">
      <c r="A25" s="7" t="inlineStr">
        <is>
          <t>Subtotal tiendas JA / Procortes</t>
        </is>
      </c>
      <c r="B25" s="7" t="n"/>
      <c r="C25" s="8">
        <f>SUM(C5:C24)</f>
        <v/>
      </c>
      <c r="D25" s="8">
        <f>SUM(D5:D24)</f>
        <v/>
      </c>
      <c r="E25" s="8">
        <f>SUM(E5:E24)</f>
        <v/>
      </c>
      <c r="F25" s="8">
        <f>SUM(F5:F24)</f>
        <v/>
      </c>
      <c r="G25" s="8">
        <f>SUM(G5:G24)</f>
        <v/>
      </c>
      <c r="H25" s="8">
        <f>SUM(H5:H24)</f>
        <v/>
      </c>
      <c r="I25" s="8">
        <f>SUM(I5:I24)</f>
        <v/>
      </c>
      <c r="J25" s="8">
        <f>SUM(J5:J24)</f>
        <v/>
      </c>
      <c r="K25" s="8">
        <f>SUM(C25:J25)</f>
        <v/>
      </c>
      <c r="L25" s="8">
        <f>IFERROR(AVERAGEIF(C25:J25,"&gt;0"),0)</f>
        <v/>
      </c>
      <c r="M25" s="9">
        <f>IF(OR(C25=0,J25=0),"",J25/C25-1)</f>
        <v/>
      </c>
    </row>
    <row r="26"/>
    <row r="27">
      <c r="A27" s="4" t="inlineStr">
        <is>
          <t>Juárez</t>
        </is>
      </c>
      <c r="B27" s="4" t="inlineStr">
        <is>
          <t>No aplica (Julián Aguillón)</t>
        </is>
      </c>
      <c r="C27" s="5">
        <f>SUMIFS('Captura BMS'!$C$1:$C$200,'Captura BMS'!$A$1:$A$200,$A27,'Captura BMS'!$B$1:$B$200,"Julián Aguillón")</f>
        <v/>
      </c>
      <c r="D27" s="5">
        <f>SUMIFS('Captura BMS'!$D$1:$D$200,'Captura BMS'!$A$1:$A$200,$A27,'Captura BMS'!$B$1:$B$200,"Julián Aguillón")</f>
        <v/>
      </c>
      <c r="E27" s="5">
        <f>SUMIFS('Captura BMS'!$E$1:$E$200,'Captura BMS'!$A$1:$A$200,$A27,'Captura BMS'!$B$1:$B$200,"Julián Aguillón")</f>
        <v/>
      </c>
      <c r="F27" s="5">
        <f>SUMIFS('Captura BMS'!$F$1:$F$200,'Captura BMS'!$A$1:$A$200,$A27,'Captura BMS'!$B$1:$B$200,"Julián Aguillón")</f>
        <v/>
      </c>
      <c r="G27" s="5">
        <f>SUMIFS('Captura BMS'!$G$1:$G$200,'Captura BMS'!$A$1:$A$200,$A27,'Captura BMS'!$B$1:$B$200,"Julián Aguillón")</f>
        <v/>
      </c>
      <c r="H27" s="5">
        <f>SUMIFS('Captura BMS'!$H$1:$H$200,'Captura BMS'!$A$1:$A$200,$A27,'Captura BMS'!$B$1:$B$200,"Julián Aguillón")</f>
        <v/>
      </c>
      <c r="I27" s="5">
        <f>SUMIFS('Captura BMS'!$I$1:$I$200,'Captura BMS'!$A$1:$A$200,$A27,'Captura BMS'!$B$1:$B$200,"Julián Aguillón")</f>
        <v/>
      </c>
      <c r="J27" s="5">
        <f>SUMIFS('Captura BMS'!$J$1:$J$200,'Captura BMS'!$A$1:$A$200,$A27,'Captura BMS'!$B$1:$B$200,"Julián Aguillón")</f>
        <v/>
      </c>
      <c r="K27" s="5">
        <f>SUM(C27:J27)</f>
        <v/>
      </c>
      <c r="L27" s="5">
        <f>IFERROR(AVERAGEIF(C27:J27,"&gt;0"),0)</f>
        <v/>
      </c>
      <c r="M27" s="6">
        <f>IF(OR(C27=0,J27=0),"",J27/C27-1)</f>
        <v/>
      </c>
    </row>
    <row r="28">
      <c r="A28" s="4" t="inlineStr">
        <is>
          <t>Real del Valle</t>
        </is>
      </c>
      <c r="B28" s="4" t="inlineStr">
        <is>
          <t>No aplica (Julián Aguillón)</t>
        </is>
      </c>
      <c r="C28" s="5">
        <f>SUMIFS('Captura BMS'!$C$1:$C$200,'Captura BMS'!$A$1:$A$200,$A28,'Captura BMS'!$B$1:$B$200,"Julián Aguillón")</f>
        <v/>
      </c>
      <c r="D28" s="5">
        <f>SUMIFS('Captura BMS'!$D$1:$D$200,'Captura BMS'!$A$1:$A$200,$A28,'Captura BMS'!$B$1:$B$200,"Julián Aguillón")</f>
        <v/>
      </c>
      <c r="E28" s="5">
        <f>SUMIFS('Captura BMS'!$E$1:$E$200,'Captura BMS'!$A$1:$A$200,$A28,'Captura BMS'!$B$1:$B$200,"Julián Aguillón")</f>
        <v/>
      </c>
      <c r="F28" s="5">
        <f>SUMIFS('Captura BMS'!$F$1:$F$200,'Captura BMS'!$A$1:$A$200,$A28,'Captura BMS'!$B$1:$B$200,"Julián Aguillón")</f>
        <v/>
      </c>
      <c r="G28" s="5">
        <f>SUMIFS('Captura BMS'!$G$1:$G$200,'Captura BMS'!$A$1:$A$200,$A28,'Captura BMS'!$B$1:$B$200,"Julián Aguillón")</f>
        <v/>
      </c>
      <c r="H28" s="5">
        <f>SUMIFS('Captura BMS'!$H$1:$H$200,'Captura BMS'!$A$1:$A$200,$A28,'Captura BMS'!$B$1:$B$200,"Julián Aguillón")</f>
        <v/>
      </c>
      <c r="I28" s="5">
        <f>SUMIFS('Captura BMS'!$I$1:$I$200,'Captura BMS'!$A$1:$A$200,$A28,'Captura BMS'!$B$1:$B$200,"Julián Aguillón")</f>
        <v/>
      </c>
      <c r="J28" s="5">
        <f>SUMIFS('Captura BMS'!$J$1:$J$200,'Captura BMS'!$A$1:$A$200,$A28,'Captura BMS'!$B$1:$B$200,"Julián Aguillón")</f>
        <v/>
      </c>
      <c r="K28" s="5">
        <f>SUM(C28:J28)</f>
        <v/>
      </c>
      <c r="L28" s="5">
        <f>IFERROR(AVERAGEIF(C28:J28,"&gt;0"),0)</f>
        <v/>
      </c>
      <c r="M28" s="6">
        <f>IF(OR(C28=0,J28=0),"",J28/C28-1)</f>
        <v/>
      </c>
    </row>
    <row r="29">
      <c r="A29" s="4" t="inlineStr">
        <is>
          <t>Parque Lineal</t>
        </is>
      </c>
      <c r="B29" s="4" t="inlineStr">
        <is>
          <t>No aplica (Julián Aguillón)</t>
        </is>
      </c>
      <c r="C29" s="5">
        <f>SUMIFS('Captura BMS'!$C$1:$C$200,'Captura BMS'!$A$1:$A$200,$A29,'Captura BMS'!$B$1:$B$200,"Julián Aguillón")</f>
        <v/>
      </c>
      <c r="D29" s="5">
        <f>SUMIFS('Captura BMS'!$D$1:$D$200,'Captura BMS'!$A$1:$A$200,$A29,'Captura BMS'!$B$1:$B$200,"Julián Aguillón")</f>
        <v/>
      </c>
      <c r="E29" s="5">
        <f>SUMIFS('Captura BMS'!$E$1:$E$200,'Captura BMS'!$A$1:$A$200,$A29,'Captura BMS'!$B$1:$B$200,"Julián Aguillón")</f>
        <v/>
      </c>
      <c r="F29" s="5">
        <f>SUMIFS('Captura BMS'!$F$1:$F$200,'Captura BMS'!$A$1:$A$200,$A29,'Captura BMS'!$B$1:$B$200,"Julián Aguillón")</f>
        <v/>
      </c>
      <c r="G29" s="5">
        <f>SUMIFS('Captura BMS'!$G$1:$G$200,'Captura BMS'!$A$1:$A$200,$A29,'Captura BMS'!$B$1:$B$200,"Julián Aguillón")</f>
        <v/>
      </c>
      <c r="H29" s="5">
        <f>SUMIFS('Captura BMS'!$H$1:$H$200,'Captura BMS'!$A$1:$A$200,$A29,'Captura BMS'!$B$1:$B$200,"Julián Aguillón")</f>
        <v/>
      </c>
      <c r="I29" s="5">
        <f>SUMIFS('Captura BMS'!$I$1:$I$200,'Captura BMS'!$A$1:$A$200,$A29,'Captura BMS'!$B$1:$B$200,"Julián Aguillón")</f>
        <v/>
      </c>
      <c r="J29" s="5">
        <f>SUMIFS('Captura BMS'!$J$1:$J$200,'Captura BMS'!$A$1:$A$200,$A29,'Captura BMS'!$B$1:$B$200,"Julián Aguillón")</f>
        <v/>
      </c>
      <c r="K29" s="5">
        <f>SUM(C29:J29)</f>
        <v/>
      </c>
      <c r="L29" s="5">
        <f>IFERROR(AVERAGEIF(C29:J29,"&gt;0"),0)</f>
        <v/>
      </c>
      <c r="M29" s="6">
        <f>IF(OR(C29=0,J29=0),"",J29/C29-1)</f>
        <v/>
      </c>
    </row>
    <row r="30">
      <c r="A30" s="4" t="inlineStr">
        <is>
          <t>Ejército</t>
        </is>
      </c>
      <c r="B30" s="4" t="inlineStr">
        <is>
          <t>No aplica (Julián Aguillón)</t>
        </is>
      </c>
      <c r="C30" s="5">
        <f>SUMIFS('Captura BMS'!$C$1:$C$200,'Captura BMS'!$A$1:$A$200,$A30,'Captura BMS'!$B$1:$B$200,"Julián Aguillón")</f>
        <v/>
      </c>
      <c r="D30" s="5">
        <f>SUMIFS('Captura BMS'!$D$1:$D$200,'Captura BMS'!$A$1:$A$200,$A30,'Captura BMS'!$B$1:$B$200,"Julián Aguillón")</f>
        <v/>
      </c>
      <c r="E30" s="5">
        <f>SUMIFS('Captura BMS'!$E$1:$E$200,'Captura BMS'!$A$1:$A$200,$A30,'Captura BMS'!$B$1:$B$200,"Julián Aguillón")</f>
        <v/>
      </c>
      <c r="F30" s="5">
        <f>SUMIFS('Captura BMS'!$F$1:$F$200,'Captura BMS'!$A$1:$A$200,$A30,'Captura BMS'!$B$1:$B$200,"Julián Aguillón")</f>
        <v/>
      </c>
      <c r="G30" s="5">
        <f>SUMIFS('Captura BMS'!$G$1:$G$200,'Captura BMS'!$A$1:$A$200,$A30,'Captura BMS'!$B$1:$B$200,"Julián Aguillón")</f>
        <v/>
      </c>
      <c r="H30" s="5">
        <f>SUMIFS('Captura BMS'!$H$1:$H$200,'Captura BMS'!$A$1:$A$200,$A30,'Captura BMS'!$B$1:$B$200,"Julián Aguillón")</f>
        <v/>
      </c>
      <c r="I30" s="5">
        <f>SUMIFS('Captura BMS'!$I$1:$I$200,'Captura BMS'!$A$1:$A$200,$A30,'Captura BMS'!$B$1:$B$200,"Julián Aguillón")</f>
        <v/>
      </c>
      <c r="J30" s="5">
        <f>SUMIFS('Captura BMS'!$J$1:$J$200,'Captura BMS'!$A$1:$A$200,$A30,'Captura BMS'!$B$1:$B$200,"Julián Aguillón")</f>
        <v/>
      </c>
      <c r="K30" s="5">
        <f>SUM(C30:J30)</f>
        <v/>
      </c>
      <c r="L30" s="5">
        <f>IFERROR(AVERAGEIF(C30:J30,"&gt;0"),0)</f>
        <v/>
      </c>
      <c r="M30" s="6">
        <f>IF(OR(C30=0,J30=0),"",J30/C30-1)</f>
        <v/>
      </c>
    </row>
    <row r="31">
      <c r="A31" s="7" t="inlineStr">
        <is>
          <t>Subtotal tiendas Julián Aguillón</t>
        </is>
      </c>
      <c r="B31" s="7" t="n"/>
      <c r="C31" s="8">
        <f>SUM(C27:C30)</f>
        <v/>
      </c>
      <c r="D31" s="8">
        <f>SUM(D27:D30)</f>
        <v/>
      </c>
      <c r="E31" s="8">
        <f>SUM(E27:E30)</f>
        <v/>
      </c>
      <c r="F31" s="8">
        <f>SUM(F27:F30)</f>
        <v/>
      </c>
      <c r="G31" s="8">
        <f>SUM(G27:G30)</f>
        <v/>
      </c>
      <c r="H31" s="8">
        <f>SUM(H27:H30)</f>
        <v/>
      </c>
      <c r="I31" s="8">
        <f>SUM(I27:I30)</f>
        <v/>
      </c>
      <c r="J31" s="8">
        <f>SUM(J27:J30)</f>
        <v/>
      </c>
      <c r="K31" s="8">
        <f>SUM(C31:J31)</f>
        <v/>
      </c>
      <c r="L31" s="8">
        <f>IFERROR(AVERAGEIF(C31:J31,"&gt;0"),0)</f>
        <v/>
      </c>
      <c r="M31" s="9">
        <f>IF(OR(C31=0,J31=0),"",J31/C31-1)</f>
        <v/>
      </c>
    </row>
    <row r="32"/>
    <row r="33">
      <c r="A33" s="7" t="inlineStr">
        <is>
          <t>TOTAL GENERAL</t>
        </is>
      </c>
      <c r="B33" s="7" t="n"/>
      <c r="C33" s="8">
        <f>C25+C31</f>
        <v/>
      </c>
      <c r="D33" s="8">
        <f>D25+D31</f>
        <v/>
      </c>
      <c r="E33" s="8">
        <f>E25+E31</f>
        <v/>
      </c>
      <c r="F33" s="8">
        <f>F25+F31</f>
        <v/>
      </c>
      <c r="G33" s="8">
        <f>G25+G31</f>
        <v/>
      </c>
      <c r="H33" s="8">
        <f>H25+H31</f>
        <v/>
      </c>
      <c r="I33" s="8">
        <f>I25+I31</f>
        <v/>
      </c>
      <c r="J33" s="8">
        <f>J25+J31</f>
        <v/>
      </c>
      <c r="K33" s="8">
        <f>SUM(C33:J33)</f>
        <v/>
      </c>
      <c r="L33" s="8">
        <f>IFERROR(AVERAGEIF(C33:J33,"&gt;0"),0)</f>
        <v/>
      </c>
      <c r="M33" s="9">
        <f>IF(OR(C33=0,J33=0),"",J33/C33-1)</f>
        <v/>
      </c>
    </row>
    <row r="35">
      <c r="A35" s="10" t="inlineStr">
        <is>
          <t>Notas</t>
        </is>
      </c>
    </row>
    <row r="36">
      <c r="A36" t="inlineStr">
        <is>
          <t>1. Feb–May: venta real BMS (hoja 'Ventas 2026' del archivo Proyectado 2026 Transicion Moral.xlsx). Jun–Sep: capturar desde cada BMS en la hoja 'Captura BMS'.</t>
        </is>
      </c>
    </row>
    <row r="37">
      <c r="A37" t="inlineStr">
        <is>
          <t>2. En el mes de migración la venta de la tienda está repartida entre los dos BMS: hay que sacar ambos reportes y se suman solos aquí.</t>
        </is>
      </c>
    </row>
    <row r="38">
      <c r="A38" t="inlineStr">
        <is>
          <t>3. Promedio mensual: solo cuenta meses con venta (Av. México abre en may; Ejército en mar).</t>
        </is>
      </c>
    </row>
    <row r="39">
      <c r="A39" t="inlineStr">
        <is>
          <t>4. Venta del CEDIS / SelectCarnes no incluida: es venta a tiendas, no al público (se duplicaría).</t>
        </is>
      </c>
    </row>
    <row r="40">
      <c r="A40" t="inlineStr">
        <is>
          <t>5. Octubre no se incluye (mes en curso). San Vicente (12-oct) y San José (19-oct) aún no migran en el periodo.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1" t="inlineStr">
        <is>
          <t>CAPTURA DE VENTA MENSUAL POR SUCURSAL — SALIDA DE CADA BMS (MXN, venta neta)</t>
        </is>
      </c>
    </row>
    <row r="2" ht="45" customHeight="1">
      <c r="A2" s="12" t="inlineStr">
        <is>
          <t>Feb–May ya capturados (venta real). Llenar las celdas AMARILLAS con el reporte de venta por sucursal de cada BMS. GRIS = la sucursal no operó en esa razón ese mes. En el mes de migración se llenan AMBOS bloques (días antes y después del cambio).</t>
        </is>
      </c>
    </row>
    <row r="4">
      <c r="A4" s="13" t="inlineStr">
        <is>
          <t>BMS JULIO ALEJANDRO</t>
        </is>
      </c>
    </row>
    <row r="5">
      <c r="A5" s="3" t="inlineStr">
        <is>
          <t>Sucursal</t>
        </is>
      </c>
      <c r="B5" s="3" t="inlineStr">
        <is>
          <t>Razón / BMS</t>
        </is>
      </c>
      <c r="C5" s="3" t="inlineStr">
        <is>
          <t>Feb-26</t>
        </is>
      </c>
      <c r="D5" s="3" t="inlineStr">
        <is>
          <t>Mar-26</t>
        </is>
      </c>
      <c r="E5" s="3" t="inlineStr">
        <is>
          <t>Abr-26</t>
        </is>
      </c>
      <c r="F5" s="3" t="inlineStr">
        <is>
          <t>May-26</t>
        </is>
      </c>
      <c r="G5" s="3" t="inlineStr">
        <is>
          <t>Jun-26</t>
        </is>
      </c>
      <c r="H5" s="3" t="inlineStr">
        <is>
          <t>Jul-26</t>
        </is>
      </c>
      <c r="I5" s="3" t="inlineStr">
        <is>
          <t>Ago-26</t>
        </is>
      </c>
      <c r="J5" s="3" t="inlineStr">
        <is>
          <t>Sep-26</t>
        </is>
      </c>
    </row>
    <row r="6">
      <c r="A6" s="4" t="inlineStr">
        <is>
          <t>Av. México</t>
        </is>
      </c>
      <c r="B6" s="4" t="inlineStr">
        <is>
          <t>Julio Alejandro</t>
        </is>
      </c>
      <c r="C6" s="14" t="n"/>
      <c r="D6" s="14" t="n"/>
      <c r="E6" s="14" t="n"/>
      <c r="F6" s="5" t="n">
        <v>8599487</v>
      </c>
      <c r="G6" s="15" t="n"/>
      <c r="H6" s="15" t="n"/>
      <c r="I6" s="15" t="n"/>
      <c r="J6" s="14" t="n"/>
    </row>
    <row r="7">
      <c r="A7" s="4" t="inlineStr">
        <is>
          <t>Bucerías</t>
        </is>
      </c>
      <c r="B7" s="4" t="inlineStr">
        <is>
          <t>Julio Alejandro</t>
        </is>
      </c>
      <c r="C7" s="5" t="n">
        <v>9498410</v>
      </c>
      <c r="D7" s="5" t="n">
        <v>10691253</v>
      </c>
      <c r="E7" s="5" t="n">
        <v>9944053</v>
      </c>
      <c r="F7" s="5" t="n">
        <v>10249459</v>
      </c>
      <c r="G7" s="15" t="n"/>
      <c r="H7" s="15" t="n"/>
      <c r="I7" s="15" t="n"/>
      <c r="J7" s="15" t="n"/>
    </row>
    <row r="8">
      <c r="A8" s="4" t="inlineStr">
        <is>
          <t>Cantera</t>
        </is>
      </c>
      <c r="B8" s="4" t="inlineStr">
        <is>
          <t>Julio Alejandro</t>
        </is>
      </c>
      <c r="C8" s="5" t="n">
        <v>5657163</v>
      </c>
      <c r="D8" s="5" t="n">
        <v>6260809</v>
      </c>
      <c r="E8" s="5" t="n">
        <v>6399045</v>
      </c>
      <c r="F8" s="5" t="n">
        <v>6689273</v>
      </c>
      <c r="G8" s="15" t="n"/>
      <c r="H8" s="15" t="n"/>
      <c r="I8" s="14" t="n"/>
      <c r="J8" s="14" t="n"/>
    </row>
    <row r="9">
      <c r="A9" s="4" t="inlineStr">
        <is>
          <t>Ejido</t>
        </is>
      </c>
      <c r="B9" s="4" t="inlineStr">
        <is>
          <t>Julio Alejandro</t>
        </is>
      </c>
      <c r="C9" s="5" t="n">
        <v>3290022</v>
      </c>
      <c r="D9" s="5" t="n">
        <v>3630575</v>
      </c>
      <c r="E9" s="5" t="n">
        <v>3706857</v>
      </c>
      <c r="F9" s="5" t="n">
        <v>3417909</v>
      </c>
      <c r="G9" s="15" t="n"/>
      <c r="H9" s="15" t="n"/>
      <c r="I9" s="15" t="n"/>
      <c r="J9" s="14" t="n"/>
    </row>
    <row r="10">
      <c r="A10" s="4" t="inlineStr">
        <is>
          <t>Fluvial</t>
        </is>
      </c>
      <c r="B10" s="4" t="inlineStr">
        <is>
          <t>Julio Alejandro</t>
        </is>
      </c>
      <c r="C10" s="5" t="n">
        <v>7157773</v>
      </c>
      <c r="D10" s="5" t="n">
        <v>8347204</v>
      </c>
      <c r="E10" s="5" t="n">
        <v>8296734</v>
      </c>
      <c r="F10" s="5" t="n">
        <v>8787142</v>
      </c>
      <c r="G10" s="15" t="n"/>
      <c r="H10" s="15" t="n"/>
      <c r="I10" s="15" t="n"/>
      <c r="J10" s="15" t="n"/>
    </row>
    <row r="11">
      <c r="A11" s="4" t="inlineStr">
        <is>
          <t>Insurgentes</t>
        </is>
      </c>
      <c r="B11" s="4" t="inlineStr">
        <is>
          <t>Julio Alejandro</t>
        </is>
      </c>
      <c r="C11" s="5" t="n">
        <v>6949647</v>
      </c>
      <c r="D11" s="5" t="n">
        <v>7671657</v>
      </c>
      <c r="E11" s="14" t="n"/>
      <c r="F11" s="14" t="n"/>
      <c r="G11" s="14" t="n"/>
      <c r="H11" s="14" t="n"/>
      <c r="I11" s="14" t="n"/>
      <c r="J11" s="14" t="n"/>
    </row>
    <row r="12">
      <c r="A12" s="4" t="inlineStr">
        <is>
          <t>Ixtapa</t>
        </is>
      </c>
      <c r="B12" s="4" t="inlineStr">
        <is>
          <t>Julio Alejandro</t>
        </is>
      </c>
      <c r="C12" s="5" t="n">
        <v>6803519</v>
      </c>
      <c r="D12" s="5" t="n">
        <v>7484529</v>
      </c>
      <c r="E12" s="5" t="n">
        <v>7568310</v>
      </c>
      <c r="F12" s="5" t="n">
        <v>8150094</v>
      </c>
      <c r="G12" s="15" t="n"/>
      <c r="H12" s="15" t="n"/>
      <c r="I12" s="15" t="n"/>
      <c r="J12" s="15" t="n"/>
    </row>
    <row r="13">
      <c r="A13" s="4" t="inlineStr">
        <is>
          <t>Ixtlán</t>
        </is>
      </c>
      <c r="B13" s="4" t="inlineStr">
        <is>
          <t>Julio Alejandro</t>
        </is>
      </c>
      <c r="C13" s="5" t="n">
        <v>3947110</v>
      </c>
      <c r="D13" s="5" t="n">
        <v>5366173</v>
      </c>
      <c r="E13" s="5" t="n">
        <v>5245363</v>
      </c>
      <c r="F13" s="5" t="n">
        <v>5324447</v>
      </c>
      <c r="G13" s="15" t="n"/>
      <c r="H13" s="15" t="n"/>
      <c r="I13" s="15" t="n"/>
      <c r="J13" s="15" t="n"/>
    </row>
    <row r="14">
      <c r="A14" s="4" t="inlineStr">
        <is>
          <t>Mezcales</t>
        </is>
      </c>
      <c r="B14" s="4" t="inlineStr">
        <is>
          <t>Julio Alejandro</t>
        </is>
      </c>
      <c r="C14" s="5" t="n">
        <v>9358821</v>
      </c>
      <c r="D14" s="5" t="n">
        <v>10464574</v>
      </c>
      <c r="E14" s="5" t="n">
        <v>10125025</v>
      </c>
      <c r="F14" s="5" t="n">
        <v>10112712</v>
      </c>
      <c r="G14" s="15" t="n"/>
      <c r="H14" s="15" t="n"/>
      <c r="I14" s="15" t="n"/>
      <c r="J14" s="15" t="n"/>
    </row>
    <row r="15">
      <c r="A15" s="4" t="inlineStr">
        <is>
          <t>Mojoneras</t>
        </is>
      </c>
      <c r="B15" s="4" t="inlineStr">
        <is>
          <t>Julio Alejandro</t>
        </is>
      </c>
      <c r="C15" s="5" t="n">
        <v>4790623</v>
      </c>
      <c r="D15" s="5" t="n">
        <v>5250213</v>
      </c>
      <c r="E15" s="5" t="n">
        <v>5112269</v>
      </c>
      <c r="F15" s="5" t="n">
        <v>5489332</v>
      </c>
      <c r="G15" s="15" t="n"/>
      <c r="H15" s="15" t="n"/>
      <c r="I15" s="15" t="n"/>
      <c r="J15" s="15" t="n"/>
    </row>
    <row r="16">
      <c r="A16" s="4" t="inlineStr">
        <is>
          <t>Nayarabastos</t>
        </is>
      </c>
      <c r="B16" s="4" t="inlineStr">
        <is>
          <t>Julio Alejandro</t>
        </is>
      </c>
      <c r="C16" s="5" t="n">
        <v>8626668</v>
      </c>
      <c r="D16" s="5" t="n">
        <v>9721925</v>
      </c>
      <c r="E16" s="5" t="n">
        <v>9732721</v>
      </c>
      <c r="F16" s="5" t="n">
        <v>11222302</v>
      </c>
      <c r="G16" s="15" t="n"/>
      <c r="H16" s="15" t="n"/>
      <c r="I16" s="15" t="n"/>
      <c r="J16" s="15" t="n"/>
    </row>
    <row r="17">
      <c r="A17" s="4" t="inlineStr">
        <is>
          <t>Peñita</t>
        </is>
      </c>
      <c r="B17" s="4" t="inlineStr">
        <is>
          <t>Julio Alejandro</t>
        </is>
      </c>
      <c r="C17" s="5" t="n">
        <v>7125778</v>
      </c>
      <c r="D17" s="5" t="n">
        <v>7885386</v>
      </c>
      <c r="E17" s="5" t="n">
        <v>8342868</v>
      </c>
      <c r="F17" s="5" t="n">
        <v>8305289</v>
      </c>
      <c r="G17" s="15" t="n"/>
      <c r="H17" s="15" t="n"/>
      <c r="I17" s="15" t="n"/>
      <c r="J17" s="15" t="n"/>
    </row>
    <row r="18">
      <c r="A18" s="4" t="inlineStr">
        <is>
          <t>Pitillal</t>
        </is>
      </c>
      <c r="B18" s="4" t="inlineStr">
        <is>
          <t>Julio Alejandro</t>
        </is>
      </c>
      <c r="C18" s="5" t="n">
        <v>8205197</v>
      </c>
      <c r="D18" s="5" t="n">
        <v>9304338</v>
      </c>
      <c r="E18" s="5" t="n">
        <v>9203270</v>
      </c>
      <c r="F18" s="5" t="n">
        <v>9752325</v>
      </c>
      <c r="G18" s="15" t="n"/>
      <c r="H18" s="15" t="n"/>
      <c r="I18" s="15" t="n"/>
      <c r="J18" s="15" t="n"/>
    </row>
    <row r="19">
      <c r="A19" s="4" t="inlineStr">
        <is>
          <t>Poetas</t>
        </is>
      </c>
      <c r="B19" s="4" t="inlineStr">
        <is>
          <t>Julio Alejandro</t>
        </is>
      </c>
      <c r="C19" s="5" t="n">
        <v>5585342</v>
      </c>
      <c r="D19" s="5" t="n">
        <v>6018431</v>
      </c>
      <c r="E19" s="5" t="n">
        <v>5760004</v>
      </c>
      <c r="F19" s="5" t="n">
        <v>6337713</v>
      </c>
      <c r="G19" s="15" t="n"/>
      <c r="H19" s="15" t="n"/>
      <c r="I19" s="15" t="n"/>
      <c r="J19" s="15" t="n"/>
    </row>
    <row r="20">
      <c r="A20" s="4" t="inlineStr">
        <is>
          <t>Romántica</t>
        </is>
      </c>
      <c r="B20" s="4" t="inlineStr">
        <is>
          <t>Julio Alejandro</t>
        </is>
      </c>
      <c r="C20" s="5" t="n">
        <v>6508140</v>
      </c>
      <c r="D20" s="5" t="n">
        <v>7132758</v>
      </c>
      <c r="E20" s="5" t="n">
        <v>7032010</v>
      </c>
      <c r="F20" s="5" t="n">
        <v>7048526</v>
      </c>
      <c r="G20" s="15" t="n"/>
      <c r="H20" s="15" t="n"/>
      <c r="I20" s="15" t="n"/>
      <c r="J20" s="15" t="n"/>
    </row>
    <row r="21">
      <c r="A21" s="4" t="inlineStr">
        <is>
          <t>San José</t>
        </is>
      </c>
      <c r="B21" s="4" t="inlineStr">
        <is>
          <t>Julio Alejandro</t>
        </is>
      </c>
      <c r="C21" s="5" t="n">
        <v>5654855</v>
      </c>
      <c r="D21" s="5" t="n">
        <v>6458709</v>
      </c>
      <c r="E21" s="5" t="n">
        <v>6411641</v>
      </c>
      <c r="F21" s="5" t="n">
        <v>7078464</v>
      </c>
      <c r="G21" s="15" t="n"/>
      <c r="H21" s="15" t="n"/>
      <c r="I21" s="15" t="n"/>
      <c r="J21" s="15" t="n"/>
    </row>
    <row r="22">
      <c r="A22" s="4" t="inlineStr">
        <is>
          <t>San Vicente</t>
        </is>
      </c>
      <c r="B22" s="4" t="inlineStr">
        <is>
          <t>Julio Alejandro</t>
        </is>
      </c>
      <c r="C22" s="5" t="n">
        <v>8161551</v>
      </c>
      <c r="D22" s="5" t="n">
        <v>8978260</v>
      </c>
      <c r="E22" s="5" t="n">
        <v>8801455</v>
      </c>
      <c r="F22" s="5" t="n">
        <v>9199558</v>
      </c>
      <c r="G22" s="15" t="n"/>
      <c r="H22" s="15" t="n"/>
      <c r="I22" s="15" t="n"/>
      <c r="J22" s="15" t="n"/>
    </row>
    <row r="23">
      <c r="A23" s="4" t="inlineStr">
        <is>
          <t>Santiago</t>
        </is>
      </c>
      <c r="B23" s="4" t="inlineStr">
        <is>
          <t>Julio Alejandro</t>
        </is>
      </c>
      <c r="C23" s="5" t="n">
        <v>4281614</v>
      </c>
      <c r="D23" s="5" t="n">
        <v>4563648</v>
      </c>
      <c r="E23" s="5" t="n">
        <v>4524040</v>
      </c>
      <c r="F23" s="5" t="n">
        <v>5196059</v>
      </c>
      <c r="G23" s="15" t="n"/>
      <c r="H23" s="15" t="n"/>
      <c r="I23" s="15" t="n"/>
      <c r="J23" s="14" t="n"/>
    </row>
    <row r="24">
      <c r="A24" s="4" t="inlineStr">
        <is>
          <t>Villa Hidalgo</t>
        </is>
      </c>
      <c r="B24" s="4" t="inlineStr">
        <is>
          <t>Julio Alejandro</t>
        </is>
      </c>
      <c r="C24" s="5" t="n">
        <v>2872700</v>
      </c>
      <c r="D24" s="5" t="n">
        <v>2980346</v>
      </c>
      <c r="E24" s="5" t="n">
        <v>2927572</v>
      </c>
      <c r="F24" s="5" t="n">
        <v>3112387</v>
      </c>
      <c r="G24" s="15" t="n"/>
      <c r="H24" s="15" t="n"/>
      <c r="I24" s="15" t="n"/>
      <c r="J24" s="14" t="n"/>
    </row>
    <row r="25">
      <c r="A25" s="4" t="inlineStr">
        <is>
          <t>Xalisco</t>
        </is>
      </c>
      <c r="B25" s="4" t="inlineStr">
        <is>
          <t>Julio Alejandro</t>
        </is>
      </c>
      <c r="C25" s="5" t="n">
        <v>5020500</v>
      </c>
      <c r="D25" s="5" t="n">
        <v>5606021</v>
      </c>
      <c r="E25" s="5" t="n">
        <v>5823121</v>
      </c>
      <c r="F25" s="5" t="n">
        <v>6190939</v>
      </c>
      <c r="G25" s="15" t="n"/>
      <c r="H25" s="15" t="n"/>
      <c r="I25" s="14" t="n"/>
      <c r="J25" s="14" t="n"/>
    </row>
    <row r="28">
      <c r="A28" s="13" t="inlineStr">
        <is>
          <t>BMS PROCORTES</t>
        </is>
      </c>
    </row>
    <row r="29">
      <c r="A29" s="3" t="inlineStr">
        <is>
          <t>Sucursal</t>
        </is>
      </c>
      <c r="B29" s="3" t="inlineStr">
        <is>
          <t>Razón / BMS</t>
        </is>
      </c>
      <c r="C29" s="3" t="inlineStr">
        <is>
          <t>Feb-26</t>
        </is>
      </c>
      <c r="D29" s="3" t="inlineStr">
        <is>
          <t>Mar-26</t>
        </is>
      </c>
      <c r="E29" s="3" t="inlineStr">
        <is>
          <t>Abr-26</t>
        </is>
      </c>
      <c r="F29" s="3" t="inlineStr">
        <is>
          <t>May-26</t>
        </is>
      </c>
      <c r="G29" s="3" t="inlineStr">
        <is>
          <t>Jun-26</t>
        </is>
      </c>
      <c r="H29" s="3" t="inlineStr">
        <is>
          <t>Jul-26</t>
        </is>
      </c>
      <c r="I29" s="3" t="inlineStr">
        <is>
          <t>Ago-26</t>
        </is>
      </c>
      <c r="J29" s="3" t="inlineStr">
        <is>
          <t>Sep-26</t>
        </is>
      </c>
    </row>
    <row r="30">
      <c r="A30" s="4" t="inlineStr">
        <is>
          <t>Av. México</t>
        </is>
      </c>
      <c r="B30" s="4" t="inlineStr">
        <is>
          <t>Procortes</t>
        </is>
      </c>
      <c r="C30" s="14" t="n"/>
      <c r="D30" s="14" t="n"/>
      <c r="E30" s="14" t="n"/>
      <c r="F30" s="14" t="n"/>
      <c r="G30" s="14" t="n"/>
      <c r="H30" s="14" t="n"/>
      <c r="I30" s="15" t="n"/>
      <c r="J30" s="15" t="n"/>
    </row>
    <row r="31">
      <c r="A31" s="4" t="inlineStr">
        <is>
          <t>Bucerías</t>
        </is>
      </c>
      <c r="B31" s="4" t="inlineStr">
        <is>
          <t>Procortes</t>
        </is>
      </c>
      <c r="C31" s="14" t="n"/>
      <c r="D31" s="14" t="n"/>
      <c r="E31" s="14" t="n"/>
      <c r="F31" s="14" t="n"/>
      <c r="G31" s="14" t="n"/>
      <c r="H31" s="14" t="n"/>
      <c r="I31" s="14" t="n"/>
      <c r="J31" s="15" t="n"/>
    </row>
    <row r="32">
      <c r="A32" s="4" t="inlineStr">
        <is>
          <t>Cantera</t>
        </is>
      </c>
      <c r="B32" s="4" t="inlineStr">
        <is>
          <t>Procortes</t>
        </is>
      </c>
      <c r="C32" s="14" t="n"/>
      <c r="D32" s="14" t="n"/>
      <c r="E32" s="14" t="n"/>
      <c r="F32" s="14" t="n"/>
      <c r="G32" s="14" t="n"/>
      <c r="H32" s="15" t="n"/>
      <c r="I32" s="15" t="n"/>
      <c r="J32" s="15" t="n"/>
    </row>
    <row r="33">
      <c r="A33" s="4" t="inlineStr">
        <is>
          <t>Ejido</t>
        </is>
      </c>
      <c r="B33" s="4" t="inlineStr">
        <is>
          <t>Procortes</t>
        </is>
      </c>
      <c r="C33" s="14" t="n"/>
      <c r="D33" s="14" t="n"/>
      <c r="E33" s="14" t="n"/>
      <c r="F33" s="14" t="n"/>
      <c r="G33" s="14" t="n"/>
      <c r="H33" s="14" t="n"/>
      <c r="I33" s="15" t="n"/>
      <c r="J33" s="15" t="n"/>
    </row>
    <row r="34">
      <c r="A34" s="4" t="inlineStr">
        <is>
          <t>Fluvial</t>
        </is>
      </c>
      <c r="B34" s="4" t="inlineStr">
        <is>
          <t>Procortes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</row>
    <row r="35">
      <c r="A35" s="4" t="inlineStr">
        <is>
          <t>Insurgentes</t>
        </is>
      </c>
      <c r="B35" s="4" t="inlineStr">
        <is>
          <t>Procortes</t>
        </is>
      </c>
      <c r="C35" s="14" t="n"/>
      <c r="D35" s="14" t="n"/>
      <c r="E35" s="5" t="n">
        <v>7943756</v>
      </c>
      <c r="F35" s="5" t="n">
        <v>8012465</v>
      </c>
      <c r="G35" s="15" t="n"/>
      <c r="H35" s="15" t="n"/>
      <c r="I35" s="15" t="n"/>
      <c r="J35" s="15" t="n"/>
    </row>
    <row r="36">
      <c r="A36" s="4" t="inlineStr">
        <is>
          <t>Ixtapa</t>
        </is>
      </c>
      <c r="B36" s="4" t="inlineStr">
        <is>
          <t>Procortes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</row>
    <row r="37">
      <c r="A37" s="4" t="inlineStr">
        <is>
          <t>Ixtlán</t>
        </is>
      </c>
      <c r="B37" s="4" t="inlineStr">
        <is>
          <t>Procortes</t>
        </is>
      </c>
      <c r="C37" s="14" t="n"/>
      <c r="D37" s="14" t="n"/>
      <c r="E37" s="14" t="n"/>
      <c r="F37" s="14" t="n"/>
      <c r="G37" s="14" t="n"/>
      <c r="H37" s="14" t="n"/>
      <c r="I37" s="14" t="n"/>
      <c r="J37" s="14" t="n"/>
    </row>
    <row r="38">
      <c r="A38" s="4" t="inlineStr">
        <is>
          <t>Mezcales</t>
        </is>
      </c>
      <c r="B38" s="4" t="inlineStr">
        <is>
          <t>Procortes</t>
        </is>
      </c>
      <c r="C38" s="14" t="n"/>
      <c r="D38" s="14" t="n"/>
      <c r="E38" s="14" t="n"/>
      <c r="F38" s="14" t="n"/>
      <c r="G38" s="14" t="n"/>
      <c r="H38" s="14" t="n"/>
      <c r="I38" s="14" t="n"/>
      <c r="J38" s="15" t="n"/>
    </row>
    <row r="39">
      <c r="A39" s="4" t="inlineStr">
        <is>
          <t>Mojoneras</t>
        </is>
      </c>
      <c r="B39" s="4" t="inlineStr">
        <is>
          <t>Procortes</t>
        </is>
      </c>
      <c r="C39" s="14" t="n"/>
      <c r="D39" s="14" t="n"/>
      <c r="E39" s="14" t="n"/>
      <c r="F39" s="14" t="n"/>
      <c r="G39" s="14" t="n"/>
      <c r="H39" s="14" t="n"/>
      <c r="I39" s="14" t="n"/>
      <c r="J39" s="14" t="n"/>
    </row>
    <row r="40">
      <c r="A40" s="4" t="inlineStr">
        <is>
          <t>Nayarabastos</t>
        </is>
      </c>
      <c r="B40" s="4" t="inlineStr">
        <is>
          <t>Procortes</t>
        </is>
      </c>
      <c r="C40" s="14" t="n"/>
      <c r="D40" s="14" t="n"/>
      <c r="E40" s="14" t="n"/>
      <c r="F40" s="14" t="n"/>
      <c r="G40" s="14" t="n"/>
      <c r="H40" s="14" t="n"/>
      <c r="I40" s="14" t="n"/>
      <c r="J40" s="14" t="n"/>
    </row>
    <row r="41">
      <c r="A41" s="4" t="inlineStr">
        <is>
          <t>Peñita</t>
        </is>
      </c>
      <c r="B41" s="4" t="inlineStr">
        <is>
          <t>Procortes</t>
        </is>
      </c>
      <c r="C41" s="14" t="n"/>
      <c r="D41" s="14" t="n"/>
      <c r="E41" s="14" t="n"/>
      <c r="F41" s="14" t="n"/>
      <c r="G41" s="14" t="n"/>
      <c r="H41" s="14" t="n"/>
      <c r="I41" s="14" t="n"/>
      <c r="J41" s="15" t="n"/>
    </row>
    <row r="42">
      <c r="A42" s="4" t="inlineStr">
        <is>
          <t>Pitillal</t>
        </is>
      </c>
      <c r="B42" s="4" t="inlineStr">
        <is>
          <t>Procortes</t>
        </is>
      </c>
      <c r="C42" s="14" t="n"/>
      <c r="D42" s="14" t="n"/>
      <c r="E42" s="14" t="n"/>
      <c r="F42" s="14" t="n"/>
      <c r="G42" s="14" t="n"/>
      <c r="H42" s="14" t="n"/>
      <c r="I42" s="14" t="n"/>
      <c r="J42" s="14" t="n"/>
    </row>
    <row r="43">
      <c r="A43" s="4" t="inlineStr">
        <is>
          <t>Poetas</t>
        </is>
      </c>
      <c r="B43" s="4" t="inlineStr">
        <is>
          <t>Procortes</t>
        </is>
      </c>
      <c r="C43" s="14" t="n"/>
      <c r="D43" s="14" t="n"/>
      <c r="E43" s="14" t="n"/>
      <c r="F43" s="14" t="n"/>
      <c r="G43" s="14" t="n"/>
      <c r="H43" s="14" t="n"/>
      <c r="I43" s="14" t="n"/>
      <c r="J43" s="14" t="n"/>
    </row>
    <row r="44">
      <c r="A44" s="4" t="inlineStr">
        <is>
          <t>Romántica</t>
        </is>
      </c>
      <c r="B44" s="4" t="inlineStr">
        <is>
          <t>Procortes</t>
        </is>
      </c>
      <c r="C44" s="14" t="n"/>
      <c r="D44" s="14" t="n"/>
      <c r="E44" s="14" t="n"/>
      <c r="F44" s="14" t="n"/>
      <c r="G44" s="14" t="n"/>
      <c r="H44" s="14" t="n"/>
      <c r="I44" s="14" t="n"/>
      <c r="J44" s="14" t="n"/>
    </row>
    <row r="45">
      <c r="A45" s="4" t="inlineStr">
        <is>
          <t>San José</t>
        </is>
      </c>
      <c r="B45" s="4" t="inlineStr">
        <is>
          <t>Procortes</t>
        </is>
      </c>
      <c r="C45" s="14" t="n"/>
      <c r="D45" s="14" t="n"/>
      <c r="E45" s="14" t="n"/>
      <c r="F45" s="14" t="n"/>
      <c r="G45" s="14" t="n"/>
      <c r="H45" s="14" t="n"/>
      <c r="I45" s="14" t="n"/>
      <c r="J45" s="14" t="n"/>
    </row>
    <row r="46">
      <c r="A46" s="4" t="inlineStr">
        <is>
          <t>San Vicente</t>
        </is>
      </c>
      <c r="B46" s="4" t="inlineStr">
        <is>
          <t>Procortes</t>
        </is>
      </c>
      <c r="C46" s="14" t="n"/>
      <c r="D46" s="14" t="n"/>
      <c r="E46" s="14" t="n"/>
      <c r="F46" s="14" t="n"/>
      <c r="G46" s="14" t="n"/>
      <c r="H46" s="14" t="n"/>
      <c r="I46" s="14" t="n"/>
      <c r="J46" s="14" t="n"/>
    </row>
    <row r="47">
      <c r="A47" s="4" t="inlineStr">
        <is>
          <t>Santiago</t>
        </is>
      </c>
      <c r="B47" s="4" t="inlineStr">
        <is>
          <t>Procortes</t>
        </is>
      </c>
      <c r="C47" s="14" t="n"/>
      <c r="D47" s="14" t="n"/>
      <c r="E47" s="14" t="n"/>
      <c r="F47" s="14" t="n"/>
      <c r="G47" s="14" t="n"/>
      <c r="H47" s="14" t="n"/>
      <c r="I47" s="15" t="n"/>
      <c r="J47" s="15" t="n"/>
    </row>
    <row r="48">
      <c r="A48" s="4" t="inlineStr">
        <is>
          <t>Villa Hidalgo</t>
        </is>
      </c>
      <c r="B48" s="4" t="inlineStr">
        <is>
          <t>Procortes</t>
        </is>
      </c>
      <c r="C48" s="14" t="n"/>
      <c r="D48" s="14" t="n"/>
      <c r="E48" s="14" t="n"/>
      <c r="F48" s="14" t="n"/>
      <c r="G48" s="14" t="n"/>
      <c r="H48" s="14" t="n"/>
      <c r="I48" s="15" t="n"/>
      <c r="J48" s="15" t="n"/>
    </row>
    <row r="49">
      <c r="A49" s="4" t="inlineStr">
        <is>
          <t>Xalisco</t>
        </is>
      </c>
      <c r="B49" s="4" t="inlineStr">
        <is>
          <t>Procortes</t>
        </is>
      </c>
      <c r="C49" s="14" t="n"/>
      <c r="D49" s="14" t="n"/>
      <c r="E49" s="14" t="n"/>
      <c r="F49" s="14" t="n"/>
      <c r="G49" s="14" t="n"/>
      <c r="H49" s="15" t="n"/>
      <c r="I49" s="15" t="n"/>
      <c r="J49" s="15" t="n"/>
    </row>
    <row r="52">
      <c r="A52" s="13" t="inlineStr">
        <is>
          <t>BMS JULIÁN AGUILLÓN</t>
        </is>
      </c>
    </row>
    <row r="53">
      <c r="A53" s="3" t="inlineStr">
        <is>
          <t>Sucursal</t>
        </is>
      </c>
      <c r="B53" s="3" t="inlineStr">
        <is>
          <t>Razón / BMS</t>
        </is>
      </c>
      <c r="C53" s="3" t="inlineStr">
        <is>
          <t>Feb-26</t>
        </is>
      </c>
      <c r="D53" s="3" t="inlineStr">
        <is>
          <t>Mar-26</t>
        </is>
      </c>
      <c r="E53" s="3" t="inlineStr">
        <is>
          <t>Abr-26</t>
        </is>
      </c>
      <c r="F53" s="3" t="inlineStr">
        <is>
          <t>May-26</t>
        </is>
      </c>
      <c r="G53" s="3" t="inlineStr">
        <is>
          <t>Jun-26</t>
        </is>
      </c>
      <c r="H53" s="3" t="inlineStr">
        <is>
          <t>Jul-26</t>
        </is>
      </c>
      <c r="I53" s="3" t="inlineStr">
        <is>
          <t>Ago-26</t>
        </is>
      </c>
      <c r="J53" s="3" t="inlineStr">
        <is>
          <t>Sep-26</t>
        </is>
      </c>
    </row>
    <row r="54">
      <c r="A54" s="4" t="inlineStr">
        <is>
          <t>Juárez</t>
        </is>
      </c>
      <c r="B54" s="4" t="inlineStr">
        <is>
          <t>Julián Aguillón</t>
        </is>
      </c>
      <c r="C54" s="5" t="n">
        <v>8046506</v>
      </c>
      <c r="D54" s="5" t="n">
        <v>8760660</v>
      </c>
      <c r="E54" s="5" t="n">
        <v>7875348</v>
      </c>
      <c r="F54" s="5" t="n">
        <v>8466557</v>
      </c>
      <c r="G54" s="15" t="n"/>
      <c r="H54" s="15" t="n"/>
      <c r="I54" s="15" t="n"/>
      <c r="J54" s="15" t="n"/>
    </row>
    <row r="55">
      <c r="A55" s="4" t="inlineStr">
        <is>
          <t>Real del Valle</t>
        </is>
      </c>
      <c r="B55" s="4" t="inlineStr">
        <is>
          <t>Julián Aguillón</t>
        </is>
      </c>
      <c r="C55" s="5" t="n">
        <v>6296452</v>
      </c>
      <c r="D55" s="5" t="n">
        <v>6262443</v>
      </c>
      <c r="E55" s="5" t="n">
        <v>6091060</v>
      </c>
      <c r="F55" s="5" t="n">
        <v>6096705</v>
      </c>
      <c r="G55" s="15" t="n"/>
      <c r="H55" s="15" t="n"/>
      <c r="I55" s="15" t="n"/>
      <c r="J55" s="15" t="n"/>
    </row>
    <row r="56">
      <c r="A56" s="4" t="inlineStr">
        <is>
          <t>Parque Lineal</t>
        </is>
      </c>
      <c r="B56" s="4" t="inlineStr">
        <is>
          <t>Julián Aguillón</t>
        </is>
      </c>
      <c r="C56" s="5" t="n">
        <v>8237917</v>
      </c>
      <c r="D56" s="5" t="n">
        <v>8964128</v>
      </c>
      <c r="E56" s="5" t="n">
        <v>8557891</v>
      </c>
      <c r="F56" s="5" t="n">
        <v>9761232</v>
      </c>
      <c r="G56" s="15" t="n"/>
      <c r="H56" s="15" t="n"/>
      <c r="I56" s="15" t="n"/>
      <c r="J56" s="15" t="n"/>
    </row>
    <row r="57">
      <c r="A57" s="4" t="inlineStr">
        <is>
          <t>Ejército</t>
        </is>
      </c>
      <c r="B57" s="4" t="inlineStr">
        <is>
          <t>Julián Aguillón</t>
        </is>
      </c>
      <c r="C57" s="14" t="n"/>
      <c r="D57" s="5" t="n">
        <v>4674169</v>
      </c>
      <c r="E57" s="5" t="n">
        <v>5854254</v>
      </c>
      <c r="F57" s="5" t="n">
        <v>6430624</v>
      </c>
      <c r="G57" s="15" t="n"/>
      <c r="H57" s="15" t="n"/>
      <c r="I57" s="15" t="n"/>
      <c r="J57" s="15" t="n"/>
    </row>
  </sheetData>
  <mergeCells count="1"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4" customWidth="1" min="3" max="3"/>
    <col width="36" customWidth="1" min="4" max="4"/>
    <col width="30" customWidth="1" min="5" max="5"/>
  </cols>
  <sheetData>
    <row r="1">
      <c r="A1" s="3" t="inlineStr">
        <is>
          <t>Sucursal</t>
        </is>
      </c>
      <c r="B1" s="3" t="inlineStr">
        <is>
          <t>Inicio en Procortes</t>
        </is>
      </c>
      <c r="C1" s="3" t="inlineStr">
        <is>
          <t>Estatus de la fecha</t>
        </is>
      </c>
      <c r="D1" s="3" t="inlineStr">
        <is>
          <t>Meses del reporte en BMS Julio Alejandro</t>
        </is>
      </c>
      <c r="E1" s="3" t="inlineStr">
        <is>
          <t>Meses del reporte en BMS Procortes</t>
        </is>
      </c>
    </row>
    <row r="2">
      <c r="A2" s="4" t="inlineStr">
        <is>
          <t>Insurgentes</t>
        </is>
      </c>
      <c r="B2" s="4" t="inlineStr">
        <is>
          <t>abr-2026</t>
        </is>
      </c>
      <c r="C2" s="4" t="inlineStr">
        <is>
          <t>Ya operaba en Procortes en abril (dato BMS)</t>
        </is>
      </c>
      <c r="D2" s="4" t="inlineStr">
        <is>
          <t>Feb–Mar</t>
        </is>
      </c>
      <c r="E2" s="4" t="inlineStr">
        <is>
          <t>Abr–Sep</t>
        </is>
      </c>
    </row>
    <row r="3">
      <c r="A3" s="4" t="inlineStr">
        <is>
          <t>Xalisco</t>
        </is>
      </c>
      <c r="B3" s="4" t="inlineStr">
        <is>
          <t>13-jul-2026</t>
        </is>
      </c>
      <c r="C3" s="16" t="inlineStr">
        <is>
          <t>Tentativa (calendario 13-jun)</t>
        </is>
      </c>
      <c r="D3" s="4" t="inlineStr">
        <is>
          <t>Feb–Jul (parcial)</t>
        </is>
      </c>
      <c r="E3" s="4" t="inlineStr">
        <is>
          <t>Jul (parcial)–Sep</t>
        </is>
      </c>
    </row>
    <row r="4">
      <c r="A4" s="4" t="inlineStr">
        <is>
          <t>Cantera</t>
        </is>
      </c>
      <c r="B4" s="4" t="inlineStr">
        <is>
          <t>27-jul-2026</t>
        </is>
      </c>
      <c r="C4" s="4" t="inlineStr">
        <is>
          <t>Confirmada (correo 22-jul)</t>
        </is>
      </c>
      <c r="D4" s="4" t="inlineStr">
        <is>
          <t>Feb–Jul (parcial)</t>
        </is>
      </c>
      <c r="E4" s="4" t="inlineStr">
        <is>
          <t>Jul (parcial)–Sep</t>
        </is>
      </c>
    </row>
    <row r="5">
      <c r="A5" s="4" t="inlineStr">
        <is>
          <t>Ejido</t>
        </is>
      </c>
      <c r="B5" s="4" t="inlineStr">
        <is>
          <t>10-ago-2026</t>
        </is>
      </c>
      <c r="C5" s="4" t="inlineStr">
        <is>
          <t>Confirmada (correo 06-ago)</t>
        </is>
      </c>
      <c r="D5" s="4" t="inlineStr">
        <is>
          <t>Feb–Ago (parcial)</t>
        </is>
      </c>
      <c r="E5" s="4" t="inlineStr">
        <is>
          <t>Ago (parcial)–Sep</t>
        </is>
      </c>
    </row>
    <row r="6">
      <c r="A6" s="4" t="inlineStr">
        <is>
          <t>Av. México</t>
        </is>
      </c>
      <c r="B6" s="4" t="inlineStr">
        <is>
          <t>17-ago-2026</t>
        </is>
      </c>
      <c r="C6" s="16" t="inlineStr">
        <is>
          <t>Tentativa (calendario 13-jun)</t>
        </is>
      </c>
      <c r="D6" s="4" t="inlineStr">
        <is>
          <t>May–Ago (parcial)</t>
        </is>
      </c>
      <c r="E6" s="4" t="inlineStr">
        <is>
          <t>Ago (parcial)–Sep</t>
        </is>
      </c>
    </row>
    <row r="7">
      <c r="A7" s="4" t="inlineStr">
        <is>
          <t>Villa Hidalgo</t>
        </is>
      </c>
      <c r="B7" s="4" t="inlineStr">
        <is>
          <t>24-ago-2026</t>
        </is>
      </c>
      <c r="C7" s="16" t="inlineStr">
        <is>
          <t>Tentativa (calendario 13-jun)</t>
        </is>
      </c>
      <c r="D7" s="4" t="inlineStr">
        <is>
          <t>Feb–Ago (parcial)</t>
        </is>
      </c>
      <c r="E7" s="4" t="inlineStr">
        <is>
          <t>Ago (parcial)–Sep</t>
        </is>
      </c>
    </row>
    <row r="8">
      <c r="A8" s="4" t="inlineStr">
        <is>
          <t>Santiago</t>
        </is>
      </c>
      <c r="B8" s="4" t="inlineStr">
        <is>
          <t>24-ago-2026</t>
        </is>
      </c>
      <c r="C8" s="16" t="inlineStr">
        <is>
          <t>Tentativa (calendario 13-jun)</t>
        </is>
      </c>
      <c r="D8" s="4" t="inlineStr">
        <is>
          <t>Feb–Ago (parcial)</t>
        </is>
      </c>
      <c r="E8" s="4" t="inlineStr">
        <is>
          <t>Ago (parcial)–Sep</t>
        </is>
      </c>
    </row>
    <row r="9">
      <c r="A9" s="4" t="inlineStr">
        <is>
          <t>Bucerías</t>
        </is>
      </c>
      <c r="B9" s="4" t="inlineStr">
        <is>
          <t>07-sep-2026</t>
        </is>
      </c>
      <c r="C9" s="16" t="inlineStr">
        <is>
          <t>Tentativa (seguimiento 02-sep)</t>
        </is>
      </c>
      <c r="D9" s="4" t="inlineStr">
        <is>
          <t>Feb–Sep (parcial)</t>
        </is>
      </c>
      <c r="E9" s="4" t="inlineStr">
        <is>
          <t>Sep (parcial)</t>
        </is>
      </c>
    </row>
    <row r="10">
      <c r="A10" s="4" t="inlineStr">
        <is>
          <t>Peñita</t>
        </is>
      </c>
      <c r="B10" s="4" t="inlineStr">
        <is>
          <t>14-sep-2026</t>
        </is>
      </c>
      <c r="C10" s="4" t="inlineStr">
        <is>
          <t>Confirmada (correo 10-sep)</t>
        </is>
      </c>
      <c r="D10" s="4" t="inlineStr">
        <is>
          <t>Feb–Sep (parcial)</t>
        </is>
      </c>
      <c r="E10" s="4" t="inlineStr">
        <is>
          <t>Sep (parcial)</t>
        </is>
      </c>
    </row>
    <row r="11">
      <c r="A11" s="4" t="inlineStr">
        <is>
          <t>Mezcales</t>
        </is>
      </c>
      <c r="B11" s="4" t="inlineStr">
        <is>
          <t>28-sep-2026</t>
        </is>
      </c>
      <c r="C11" s="4" t="inlineStr">
        <is>
          <t>Confirmada (correo 26-sep)</t>
        </is>
      </c>
      <c r="D11" s="4" t="inlineStr">
        <is>
          <t>Feb–Sep (parcial)</t>
        </is>
      </c>
      <c r="E11" s="4" t="inlineStr">
        <is>
          <t>Sep (parcial)</t>
        </is>
      </c>
    </row>
    <row r="12">
      <c r="A12" s="4" t="inlineStr">
        <is>
          <t>San Vicente</t>
        </is>
      </c>
      <c r="B12" s="4" t="inlineStr">
        <is>
          <t>12-oct-2026</t>
        </is>
      </c>
      <c r="C12" s="4" t="inlineStr">
        <is>
          <t>Fuera del periodo (todo en BMS Julio Alejandro)</t>
        </is>
      </c>
      <c r="D12" s="4" t="inlineStr">
        <is>
          <t>Feb–Sep</t>
        </is>
      </c>
      <c r="E12" s="4" t="inlineStr">
        <is>
          <t>—</t>
        </is>
      </c>
    </row>
    <row r="13">
      <c r="A13" s="4" t="inlineStr">
        <is>
          <t>San José</t>
        </is>
      </c>
      <c r="B13" s="4" t="inlineStr">
        <is>
          <t>19-oct-2026</t>
        </is>
      </c>
      <c r="C13" s="4" t="inlineStr">
        <is>
          <t>Fuera del periodo (todo en BMS Julio Alejandro)</t>
        </is>
      </c>
      <c r="D13" s="4" t="inlineStr">
        <is>
          <t>Feb–Sep</t>
        </is>
      </c>
      <c r="E13" s="4" t="inlineStr">
        <is>
          <t>—</t>
        </is>
      </c>
    </row>
    <row r="15">
      <c r="A15" s="17" t="inlineStr">
        <is>
          <t>Fuente: correos de Citlali Amaya (Transición a Persona Moral). Las fechas 'Tentativa' vienen del calendario del 13-jun; confirmar en BMS Procortes la fecha del primer ticket.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2026-10-10T01:04:29Z</dcterms:created>
  <dcterms:modified xmlns:dcterms="http://purl.org/dc/terms/" xmlns:xsi="http://www.w3.org/2001/XMLSchema-instance" xsi:type="dcterms:W3CDTF">2026-10-10T01:04:29Z</dcterms:modified>
</cp:coreProperties>
</file>